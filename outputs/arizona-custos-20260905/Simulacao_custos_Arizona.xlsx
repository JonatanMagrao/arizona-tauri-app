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17c0ee2df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ssas" sheetId="1" r:id="R0b4c7b9eacda41f6"/>
    <x:sheet xmlns:r="http://schemas.openxmlformats.org/officeDocument/2006/relationships" name="Simples" sheetId="2" r:id="R81f94b297029498a"/>
    <x:sheet xmlns:r="http://schemas.openxmlformats.org/officeDocument/2006/relationships" name="Empresa" sheetId="3" r:id="R109ca23c587148e5"/>
    <x:sheet xmlns:r="http://schemas.openxmlformats.org/officeDocument/2006/relationships" name="Arizona" sheetId="4" r:id="R940fb1876d1646f9"/>
    <x:sheet xmlns:r="http://schemas.openxmlformats.org/officeDocument/2006/relationships" name="Fontes" sheetId="5" r:id="Rd030a095454d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&quot;R$ &quot;#,##0.00;(&quot;R$ &quot;#,##0.00);&quot;—&quot;"/>
    <x:numFmt numFmtId="201" formatCode="0.00%;(0.00%);&quot;—&quot;"/>
    <x:numFmt numFmtId="202" formatCode="0.0"/>
    <x:numFmt numFmtId="203" formatCode="0"/>
    <x:numFmt numFmtId="204" formatCode="0.000%"/>
    <x:numFmt numFmtId="205" formatCode="0.000000"/>
    <x:numFmt numFmtId="206" formatCode="0.00"/>
  </x:numFmts>
  <x:fonts count="10">
    <x:font>
      <x:sz val="11"/>
      <x:name val="Carlito"/>
    </x:font>
    <x:font>
      <x:sz val="11"/>
      <x:color rgb="FF111827"/>
      <x:name val="Helvetica Neue"/>
    </x:font>
    <x:font>
      <x:b/>
      <x:sz val="16"/>
      <x:color rgb="FF111827"/>
      <x:name val="Helvetica Neue"/>
    </x:font>
    <x:font>
      <x:i/>
      <x:sz val="10"/>
      <x:color rgb="FF475569"/>
      <x:name val="Helvetica Neue"/>
    </x:font>
    <x:font>
      <x:b/>
      <x:sz val="11"/>
      <x:color rgb="FFFFFFFF"/>
      <x:name val="Helvetica Neue"/>
    </x:font>
    <x:font>
      <x:sz val="11"/>
      <x:color rgb="FF0000FF"/>
      <x:name val="Helvetica Neue"/>
    </x:font>
    <x:font>
      <x:sz val="10"/>
      <x:color rgb="FF475569"/>
      <x:name val="Helvetica Neue"/>
    </x:font>
    <x:font>
      <x:sz val="11"/>
      <x:color rgb="FF008000"/>
      <x:name val="Helvetica Neue"/>
    </x:font>
    <x:font>
      <x:b/>
      <x:sz val="11"/>
      <x:color rgb="FF111827"/>
      <x:name val="Helvetica Neue"/>
    </x:font>
    <x:font>
      <x:b/>
      <x:sz val="11"/>
      <x:color rgb="FF008000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1CC"/>
      </x:patternFill>
    </x:fill>
    <x:fill>
      <x:patternFill patternType="solid">
        <x:fgColor rgb="FFE8EEF4"/>
      </x:patternFill>
    </x:fill>
  </x:fills>
  <x:borders count="3">
    <x:border/>
    <x:border>
      <x:bottom style="thin">
        <x:color rgb="FF64748B"/>
      </x:bottom>
    </x:border>
    <x:border>
      <x:top style="thin">
        <x:color rgb="FF94A3B8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/>
    </x:xf>
    <x:xf numFmtId="200" fontId="8" fillId="4" borderId="2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200" fontId="9" fillId="4" borderId="2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F1239"/>
      </x:font>
      <x:fill>
        <x:patternFill patternType="solid">
          <x:bgColor rgb="FF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f472b364b43b5" /><Relationship Type="http://schemas.openxmlformats.org/officeDocument/2006/relationships/theme" Target="/xl/theme/theme1.xml" Id="R4ceffa9c57864382" /><Relationship Type="http://schemas.openxmlformats.org/officeDocument/2006/relationships/sharedStrings" Target="/xl/sharedStrings.xml" Id="R5ad2d4cf5de34c26" /><Relationship Type="http://schemas.openxmlformats.org/officeDocument/2006/relationships/worksheet" Target="/xl/worksheets/sheet1.xml" Id="R0b4c7b9eacda41f6" /><Relationship Type="http://schemas.openxmlformats.org/officeDocument/2006/relationships/worksheet" Target="/xl/worksheets/sheet2.xml" Id="R81f94b297029498a" /><Relationship Type="http://schemas.openxmlformats.org/officeDocument/2006/relationships/worksheet" Target="/xl/worksheets/sheet3.xml" Id="R109ca23c587148e5" /><Relationship Type="http://schemas.openxmlformats.org/officeDocument/2006/relationships/worksheet" Target="/xl/worksheets/sheet4.xml" Id="R940fb1876d1646f9" /><Relationship Type="http://schemas.openxmlformats.org/officeDocument/2006/relationships/worksheet" Target="/xl/worksheets/sheet5.xml" Id="Rd030a095454d41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46" hidden="0" customWidth="1"/>
    <x:col min="3" max="3" width="19" hidden="0" customWidth="1"/>
    <x:col min="4" max="4" width="76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2"/>
      <x:c r="B2" s="4" t="str">
        <x:v>Custos e hipóteses</x:v>
      </x:c>
      <x:c r="C2" s="5"/>
      <x:c r="D2" s="5"/>
      <x:c r="E2" s="5"/>
      <x:c r="F2" s="5"/>
    </x:row>
    <x:row r="3" ht="24" customHeight="1">
      <x:c r="A3" s="2"/>
      <x:c r="B3" s="6" t="str">
        <x:v>Simulação mensal · regras de 2026 como referência para planejar 2027</x:v>
      </x:c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8" customHeight="1">
      <x:c r="A5" s="2"/>
      <x:c r="B5" s="9" t="str">
        <x:v>Premissa</x:v>
      </x:c>
      <x:c r="C5" s="9" t="str">
        <x:v>Valor</x:v>
      </x:c>
      <x:c r="D5" s="9" t="str">
        <x:v>Origem e uso</x:v>
      </x:c>
      <x:c r="E5" s="2"/>
      <x:c r="F5" s="2"/>
    </x:row>
    <x:row r="6" ht="36" customHeight="1">
      <x:c r="A6" s="2"/>
      <x:c r="B6" s="13" t="str">
        <x:v>Receita mensal futura — cenário A</x:v>
      </x:c>
      <x:c r="C6" s="14" t="n">
        <x:v>20000</x:v>
      </x:c>
      <x:c r="D6" s="13" t="str">
        <x:v>Previsão do usuário: todos os negócios no mesmo CNPJ.</x:v>
      </x:c>
      <x:c r="E6" s="2"/>
      <x:c r="F6" s="2"/>
    </x:row>
    <x:row r="7" ht="36" customHeight="1">
      <x:c r="A7" s="2"/>
      <x:c r="B7" s="13" t="str">
        <x:v>Receita mensal futura — cenário B</x:v>
      </x:c>
      <x:c r="C7" s="14" t="n">
        <x:v>25000</x:v>
      </x:c>
      <x:c r="D7" s="13" t="str">
        <x:v>Previsão do usuário; cenários já estabilizados por 12 meses.</x:v>
      </x:c>
      <x:c r="E7" s="2"/>
      <x:c r="F7" s="2"/>
    </x:row>
    <x:row r="8" ht="36" customHeight="1">
      <x:c r="A8" s="2"/>
      <x:c r="B8" s="13" t="str">
        <x:v>RBT12 atual aproximado</x:v>
      </x:c>
      <x:c r="C8" s="14" t="n">
        <x:v>165000</x:v>
      </x:c>
      <x:c r="D8" s="13" t="str">
        <x:v>Ponto médio da faixa informada de R$ 150–180 mil; substituir pelo PGDAS.</x:v>
      </x:c>
      <x:c r="E8" s="2"/>
      <x:c r="F8" s="2"/>
    </x:row>
    <x:row r="9" ht="36" customHeight="1">
      <x:c r="A9" s="2"/>
      <x:c r="B9" s="13" t="str">
        <x:v>Pró-labore atual</x:v>
      </x:c>
      <x:c r="C9" s="14" t="n">
        <x:v>4200</x:v>
      </x:c>
      <x:c r="D9" s="13" t="str">
        <x:v>Informado pelo usuário; sócio único, sem empregados.</x:v>
      </x:c>
      <x:c r="E9" s="2"/>
      <x:c r="F9" s="2"/>
    </x:row>
    <x:row r="10" ht="36" customHeight="1">
      <x:c r="A10" s="2"/>
      <x:c r="B10" s="13" t="str">
        <x:v>Pró-labore futuro / receita</x:v>
      </x:c>
      <x:c r="C10" s="16" t="n">
        <x:v>0.3</x:v>
      </x:c>
      <x:c r="D10" s="13" t="str">
        <x:v>Hipótese que mantém sua prática; não é otimização tributária.</x:v>
      </x:c>
      <x:c r="E10" s="2"/>
      <x:c r="F10" s="2"/>
    </x:row>
    <x:row r="11" ht="36" customHeight="1">
      <x:c r="A11" s="2"/>
      <x:c r="B11" s="13" t="str">
        <x:v>Contabilidade mensal</x:v>
      </x:c>
      <x:c r="C11" s="14" t="n">
        <x:v>200</x:v>
      </x:c>
      <x:c r="D11" s="13" t="str">
        <x:v>Informado pelo usuário.</x:v>
      </x:c>
      <x:c r="E11" s="2"/>
      <x:c r="F11" s="2"/>
    </x:row>
    <x:row r="12" ht="36" customHeight="1">
      <x:c r="A12" s="2"/>
      <x:c r="B12" s="13" t="str">
        <x:v>Supabase mensal</x:v>
      </x:c>
      <x:c r="C12" s="14" t="n">
        <x:v>200</x:v>
      </x:c>
      <x:c r="D12" s="13" t="str">
        <x:v>Estimativa do usuário, atribuída integralmente ao Arizona.</x:v>
      </x:c>
      <x:c r="E12" s="2"/>
      <x:c r="F12" s="2"/>
    </x:row>
    <x:row r="13" ht="36" customHeight="1">
      <x:c r="A13" s="2"/>
      <x:c r="B13" s="13" t="str">
        <x:v>Fatura de IA em reais</x:v>
      </x:c>
      <x:c r="C13" s="14" t="n">
        <x:v>1100</x:v>
      </x:c>
      <x:c r="D13" s="13" t="str">
        <x:v>HIPÓTESE: usuário informou US$ 200. Substituir pela fatura completa.</x:v>
      </x:c>
      <x:c r="E13" s="2"/>
      <x:c r="F13" s="2"/>
    </x:row>
    <x:row r="14" ht="36" customHeight="1">
      <x:c r="A14" s="2"/>
      <x:c r="B14" s="13" t="str">
        <x:v>Parcela da IA atribuída ao Arizona</x:v>
      </x:c>
      <x:c r="C14" s="16" t="n">
        <x:v>0.25</x:v>
      </x:c>
      <x:c r="D14" s="13" t="str">
        <x:v>HIPÓTESE de rateio; o plano é usado também em outros projetos.</x:v>
      </x:c>
      <x:c r="E14" s="2"/>
      <x:c r="F14" s="2"/>
    </x:row>
    <x:row r="15" ht="36" customHeight="1">
      <x:c r="A15" s="2"/>
      <x:c r="B15" s="13" t="str">
        <x:v>Licença Arizona mensal</x:v>
      </x:c>
      <x:c r="C15" s="14" t="n">
        <x:v>1200</x:v>
      </x:c>
      <x:c r="D15" s="13" t="str">
        <x:v>Preço em negociação, até 10 pessoas, uma máquina ativa por pessoa.</x:v>
      </x:c>
      <x:c r="E15" s="2"/>
      <x:c r="F15" s="2"/>
    </x:row>
    <x:row r="16" ht="36" customHeight="1">
      <x:c r="A16" s="2"/>
      <x:c r="B16" s="13" t="str">
        <x:v>Licença + pacote mensal</x:v>
      </x:c>
      <x:c r="C16" s="14" t="n">
        <x:v>2000</x:v>
      </x:c>
      <x:c r="D16" s="13" t="str">
        <x:v>Preço em negociação; comparação com 8 h/mês e 8 h/semana.</x:v>
      </x:c>
      <x:c r="E16" s="2"/>
      <x:c r="F16" s="2"/>
    </x:row>
    <x:row r="17" ht="36" customHeight="1">
      <x:c r="A17" s="2"/>
      <x:c r="B17" s="13" t="str">
        <x:v>Horas do pacote mensal</x:v>
      </x:c>
      <x:c r="C17" s="18" t="n">
        <x:v>8</x:v>
      </x:c>
      <x:c r="D17" s="13" t="str">
        <x:v>Hipótese comercial discutida.</x:v>
      </x:c>
      <x:c r="E17" s="2"/>
      <x:c r="F17" s="2"/>
    </x:row>
    <x:row r="18" ht="36" customHeight="1">
      <x:c r="A18" s="2"/>
      <x:c r="B18" s="13" t="str">
        <x:v>Horas do pacote semanal</x:v>
      </x:c>
      <x:c r="C18" s="18" t="n">
        <x:v>8</x:v>
      </x:c>
      <x:c r="D18" s="13" t="str">
        <x:v>Hipótese comercial discutida; média usa 52 semanas / 12 meses.</x:v>
      </x:c>
      <x:c r="E18" s="2"/>
      <x:c r="F18" s="2"/>
    </x:row>
    <x:row r="19" ht="36" customHeight="1">
      <x:c r="A19" s="2"/>
      <x:c r="B19" s="13" t="str">
        <x:v>Tarifa avulsa / referência econômica</x:v>
      </x:c>
      <x:c r="C19" s="14" t="n">
        <x:v>120</x:v>
      </x:c>
      <x:c r="D19" s="13" t="str">
        <x:v>Referência comercial discutida; não é custo comprovado do seu tempo.</x:v>
      </x:c>
      <x:c r="E19" s="2"/>
      <x:c r="F19" s="2"/>
    </x:row>
    <x:row r="20" ht="42" customHeight="1">
      <x:c r="A20" s="2"/>
      <x:c r="B20" s="13" t="str">
        <x:v>Horas totais trabalhadas na empresa / mês</x:v>
      </x:c>
      <x:c r="C20" s="18"/>
      <x:c r="D20" s="13" t="str">
        <x:v>A INFORMAR para ratear seu pró-labore pelo tempo de trabalho.</x:v>
      </x:c>
      <x:c r="E20" s="2"/>
      <x:c r="F20" s="2"/>
    </x:row>
    <x:row r="21" ht="42" customHeight="1">
      <x:c r="A21" s="2"/>
      <x:c r="B21" s="13" t="str">
        <x:v>Horas de manutenção incluída no Arizona</x:v>
      </x:c>
      <x:c r="C21" s="18"/>
      <x:c r="D21" s="13" t="str">
        <x:v>A INFORMAR. Defeitos cobertos consomem seu tempo além das horas vendidas.</x:v>
      </x:c>
      <x:c r="E21" s="2"/>
      <x:c r="F21" s="2"/>
    </x:row>
    <x:row r="22" ht="24" customHeight="1">
      <x:c r="A22" s="2"/>
      <x:c r="B22" s="2"/>
      <x:c r="C22" s="2"/>
      <x:c r="D22" s="2"/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38" customHeight="1">
      <x:c r="A24" s="2"/>
      <x:c r="B24" s="9" t="str">
        <x:v>Outros custos</x:v>
      </x:c>
      <x:c r="C24" s="9" t="str">
        <x:v>Valor</x:v>
      </x:c>
      <x:c r="D24" s="9" t="str">
        <x:v>Preencher zero quando não houver custo</x:v>
      </x:c>
      <x:c r="E24" s="2"/>
      <x:c r="F24" s="2"/>
    </x:row>
    <x:row r="25" ht="42" customHeight="1">
      <x:c r="A25" s="2"/>
      <x:c r="B25" s="13" t="str">
        <x:v>Internet, energia e espaço de trabalho</x:v>
      </x:c>
      <x:c r="C25" s="14"/>
      <x:c r="D25" s="13" t="str">
        <x:v>A INFORMAR: somente a parcela empresarial mensal.</x:v>
      </x:c>
      <x:c r="E25" s="2"/>
      <x:c r="F25" s="2"/>
    </x:row>
    <x:row r="26" ht="42" customHeight="1">
      <x:c r="A26" s="2"/>
      <x:c r="B26" s="13" t="str">
        <x:v>Adobe e outras assinaturas compartilhadas</x:v>
      </x:c>
      <x:c r="C26" s="14"/>
      <x:c r="D26" s="13" t="str">
        <x:v>A INFORMAR: excluir IA e Supabase já listados.</x:v>
      </x:c>
      <x:c r="E26" s="2"/>
      <x:c r="F26" s="2"/>
    </x:row>
    <x:row r="27" ht="42" customHeight="1">
      <x:c r="A27" s="2"/>
      <x:c r="B27" s="13" t="str">
        <x:v>Banco, cobrança e taxas de recebimento</x:v>
      </x:c>
      <x:c r="C27" s="14"/>
      <x:c r="D27" s="13" t="str">
        <x:v>A INFORMAR: custo mensal empresarial.</x:v>
      </x:c>
      <x:c r="E27" s="2"/>
      <x:c r="F27" s="2"/>
    </x:row>
    <x:row r="28" ht="42" customHeight="1">
      <x:c r="A28" s="2"/>
      <x:c r="B28" s="13" t="str">
        <x:v>Depreciação gerencial dos equipamentos</x:v>
      </x:c>
      <x:c r="C28" s="14"/>
      <x:c r="D28" s="13" t="str">
        <x:v>A INFORMAR: custo de uso mensal; não duplicar com compra integral do bem.</x:v>
      </x:c>
      <x:c r="E28" s="2"/>
      <x:c r="F28" s="2"/>
    </x:row>
    <x:row r="29" ht="42" customHeight="1">
      <x:c r="A29" s="2"/>
      <x:c r="B29" s="13" t="str">
        <x:v>Certificados, taxas e honorários anuais</x:v>
      </x:c>
      <x:c r="C29" s="14"/>
      <x:c r="D29" s="13" t="str">
        <x:v>A INFORMAR: total anual; o modelo divide por 12.</x:v>
      </x:c>
      <x:c r="E29" s="2"/>
      <x:c r="F29" s="2"/>
    </x:row>
    <x:row r="30" ht="42" customHeight="1">
      <x:c r="A30" s="2"/>
      <x:c r="B30" s="13" t="str">
        <x:v>Backup, domínio, segurança e armazenamento</x:v>
      </x:c>
      <x:c r="C30" s="14"/>
      <x:c r="D30" s="13" t="str">
        <x:v>A INFORMAR: outros serviços compartilhados, sem duplicar Supabase.</x:v>
      </x:c>
      <x:c r="E30" s="2"/>
      <x:c r="F30" s="2"/>
    </x:row>
    <x:row r="31" ht="42" customHeight="1">
      <x:c r="A31" s="2"/>
      <x:c r="B31" s="13" t="str">
        <x:v>Terceiros e serviços de apoio compartilhados</x:v>
      </x:c>
      <x:c r="C31" s="14"/>
      <x:c r="D31" s="13" t="str">
        <x:v>A INFORMAR: somente despesas empresariais.</x:v>
      </x:c>
      <x:c r="E31" s="2"/>
      <x:c r="F31" s="2"/>
    </x:row>
    <x:row r="32" ht="42" customHeight="1">
      <x:c r="A32" s="2"/>
      <x:c r="B32" s="13" t="str">
        <x:v>Tributos e encargos de serviços importados</x:v>
      </x:c>
      <x:c r="C32" s="14"/>
      <x:c r="D32" s="13" t="str">
        <x:v>A VALIDAR com contador: entidade faturadora, contrato e operação.</x:v>
      </x:c>
      <x:c r="E32" s="2"/>
      <x:c r="F32" s="2"/>
    </x:row>
    <x:row r="33" ht="42" customHeight="1">
      <x:c r="A33" s="2"/>
      <x:c r="B33" s="13" t="str">
        <x:v>Custos exclusivos dos outros negócios</x:v>
      </x:c>
      <x:c r="C33" s="14"/>
      <x:c r="D33" s="13" t="str">
        <x:v>A INFORMAR: deduzidos da empresa; não rateados ao Arizona.</x:v>
      </x:c>
      <x:c r="E33" s="2"/>
      <x:c r="F33" s="2"/>
    </x:row>
    <x:row r="34" ht="42" customHeight="1">
      <x:c r="A34" s="2"/>
      <x:c r="B34" s="13" t="str">
        <x:v>Reserva mensal de caixa desejada</x:v>
      </x:c>
      <x:c r="C34" s="14"/>
      <x:c r="D34" s="13" t="str">
        <x:v>A INFORMAR: retenção de caixa; não é despesa contábil.</x:v>
      </x:c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/>
      <x:c r="B36" s="2"/>
      <x:c r="C36" s="2"/>
      <x:c r="D36" s="2"/>
      <x:c r="E36" s="2"/>
      <x:c r="F36" s="2"/>
    </x:row>
    <x:row r="37" ht="24" customHeight="1">
      <x:c r="A37" s="2"/>
      <x:c r="B37" s="2" t="str">
        <x:v>Custos compartilhados mensais informados</x:v>
      </x:c>
      <x:c r="C37" s="22" t="n">
        <x:f>SUM(C25:C28,C30:C32)+C29/12</x:f>
        <x:v>0</x:v>
      </x:c>
      <x:c r="D37" s="2"/>
      <x:c r="E37" s="2"/>
      <x:c r="F37" s="2"/>
    </x:row>
    <x:row r="38" ht="24" customHeight="1">
      <x:c r="A38" s="2"/>
      <x:c r="B38" s="2" t="str">
        <x:v>Categorias de despesa sem valor</x:v>
      </x:c>
      <x:c r="C38" s="19" t="n">
        <x:f>COUNTBLANK(C25:C33)</x:f>
        <x:v>9</x:v>
      </x:c>
      <x:c r="D38" s="2"/>
      <x:c r="E38" s="2"/>
      <x:c r="F38" s="2"/>
    </x:row>
    <x:row r="39" ht="24" customHeight="1">
      <x:c r="A39" s="2"/>
      <x:c r="B39" s="2" t="str">
        <x:v>Pró-labore atual / RBT12 aproximado</x:v>
      </x:c>
      <x:c r="C39" s="20" t="n">
        <x:f>C9*12/C8</x:f>
        <x:v>0.3054545454545455</x:v>
      </x:c>
      <x:c r="D39" s="2" t="str">
        <x:v>Não é o fator R completo: faltam histórico de pagamentos e CPP elegível.</x:v>
      </x:c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  <x:row r="41" ht="24" customHeight="1">
      <x:c r="A41" s="2"/>
      <x:c r="B41" s="2"/>
      <x:c r="C41" s="2"/>
      <x:c r="D41" s="2"/>
      <x:c r="E41" s="2"/>
      <x:c r="F41" s="2"/>
    </x:row>
    <x:row r="42" ht="26" customHeight="1">
      <x:c r="A42" s="2"/>
      <x:c r="B42" s="21" t="str">
        <x:v>Azul + fundo amarelo: entrada editável. Verde: cálculo com outra aba.</x:v>
      </x:c>
      <x:c r="C42" s="2"/>
      <x:c r="D42" s="2"/>
      <x:c r="E42" s="2"/>
      <x:c r="F42" s="2"/>
    </x:row>
    <x:row r="43" ht="26" customHeight="1">
      <x:c r="A43" s="2"/>
      <x:c r="B43" s="21" t="str">
        <x:v>As células vazias representam custos desconhecidos; subtotais não são lucro final.</x:v>
      </x:c>
      <x:c r="C43" s="2"/>
      <x:c r="D43" s="2"/>
      <x:c r="E43" s="2"/>
      <x:c r="F43" s="2"/>
    </x:row>
    <x:row r="44" ht="26" customHeight="1">
      <x:c r="A44" s="2"/>
      <x:c r="B44" s="21" t="str">
        <x:v>O Simples incide sobre receita: IA, contabilidade e pró-labore não abatem o DAS.</x:v>
      </x:c>
      <x:c r="C44" s="2"/>
      <x:c r="D44" s="2"/>
      <x:c r="E44" s="2"/>
      <x:c r="F44" s="2"/>
    </x:row>
    <x:row r="45" ht="26" customHeight="1">
      <x:c r="A45" s="2"/>
      <x:c r="B45" s="21" t="str">
        <x:v>No resultado total da empresa entra 100% da IA; no Arizona entra somente o rateio.</x:v>
      </x:c>
      <x:c r="C45" s="2"/>
      <x:c r="D45" s="2"/>
      <x:c r="E45" s="2"/>
      <x:c r="F45" s="2"/>
    </x:row>
    <x:row r="46" ht="26" customHeight="1">
      <x:c r="A46" s="2"/>
      <x:c r="B46" s="21" t="str">
        <x:v>Pró-labore bruto já inclui INSS e IRRF retidos. Não descontar essas retenções outra vez.</x:v>
      </x:c>
      <x:c r="C46" s="2"/>
      <x:c r="D46" s="2"/>
      <x:c r="E46" s="2"/>
      <x:c r="F46" s="2"/>
    </x:row>
    <x:row r="47" ht="26" customHeight="1">
      <x:c r="A47" s="2"/>
      <x:c r="B47" s="21" t="str">
        <x:v>Valores de INSS e IRRF são de 2026. Revisar para a apuração efetiva de 2027.</x:v>
      </x:c>
      <x:c r="C47" s="2"/>
      <x:c r="D47" s="2"/>
      <x:c r="E47" s="2"/>
      <x:c r="F47" s="2"/>
    </x:row>
    <x:row r="48" ht="26" customHeight="1">
      <x:c r="A48" s="2"/>
      <x:c r="B48" s="21" t="str">
        <x:v>Modelo não inclui regime regular de IBS/CBS fora do DAS, nem apuração de importação.</x:v>
      </x:c>
      <x:c r="C48" s="2"/>
      <x:c r="D48" s="2"/>
      <x:c r="E48" s="2"/>
      <x:c r="F48" s="2"/>
    </x:row>
    <x:row r="49" ht="26" customHeight="1">
      <x:c r="A49" s="2"/>
      <x:c r="B49" s="21" t="str">
        <x:v>Contador deve confirmar CNAEs, receitas segregadas, fator R e distribuição de lucros.</x:v>
      </x:c>
      <x:c r="C49" s="2"/>
      <x:c r="D49" s="2"/>
      <x:c r="E49" s="2"/>
      <x:c r="F49" s="2"/>
    </x:row>
    <x:row r="50" ht="26" customHeight="1">
      <x:c r="A50" s="2"/>
      <x:c r="B50" s="21" t="str">
        <x:v>Renderização distribuída fora de todas as hipóteses comerciais.</x:v>
      </x:c>
      <x:c r="C50" s="2"/>
      <x:c r="D50" s="2"/>
      <x:c r="E50" s="2"/>
      <x:c r="F50" s="2"/>
    </x:row>
    <x:row r="51" ht="24" customHeight="1">
      <x:c r="A51" s="2"/>
      <x:c r="B51" s="2"/>
      <x:c r="C51" s="2"/>
      <x:c r="D51" s="2"/>
      <x:c r="E51" s="2"/>
      <x:c r="F51" s="2"/>
    </x:row>
    <x:row r="52" ht="24" customHeight="1">
      <x:c r="A52" s="2"/>
      <x:c r="B52" s="2"/>
      <x:c r="C52" s="2"/>
      <x:c r="D52" s="2"/>
      <x:c r="E52" s="2"/>
      <x:c r="F52" s="2"/>
    </x:row>
    <x:row r="53" ht="24" customHeight="1">
      <x:c r="A53" s="2"/>
      <x:c r="B53" s="2"/>
      <x:c r="C53" s="2"/>
      <x:c r="D53" s="2"/>
      <x:c r="E53" s="2"/>
      <x:c r="F53" s="2"/>
    </x:row>
    <x:row r="54" ht="24" customHeight="1">
      <x:c r="A54" s="2"/>
      <x:c r="B54" s="2"/>
      <x:c r="C54" s="2"/>
      <x:c r="D54" s="2"/>
      <x:c r="E54" s="2"/>
      <x:c r="F5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2"/>
      <x:c r="B2" s="4" t="str">
        <x:v>Simples Nacional e retiradas</x:v>
      </x:c>
      <x:c r="C2" s="5"/>
      <x:c r="D2" s="5"/>
      <x:c r="E2" s="5"/>
      <x:c r="F2" s="5"/>
      <x:c r="G2" s="5"/>
      <x:c r="H2" s="5"/>
    </x:row>
    <x:row r="3" ht="24" customHeight="1">
      <x:c r="A3" s="2"/>
      <x:c r="B3" s="6" t="str">
        <x:v>Simulação mensal · regras de 2026 como referência para planejar 2027</x:v>
      </x:c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8" customHeight="1">
      <x:c r="A5" s="2"/>
      <x:c r="B5" s="9" t="str">
        <x:v>Receita mensal</x:v>
      </x:c>
      <x:c r="C5" s="9" t="str">
        <x:v>RBT12</x:v>
      </x:c>
      <x:c r="D5" s="9" t="str">
        <x:v>III efetivo</x:v>
      </x:c>
      <x:c r="E5" s="9" t="str">
        <x:v>DAS III</x:v>
      </x:c>
      <x:c r="F5" s="9" t="str">
        <x:v>V efetivo</x:v>
      </x:c>
      <x:c r="G5" s="9" t="str">
        <x:v>DAS V</x:v>
      </x:c>
      <x:c r="H5" s="2"/>
    </x:row>
    <x:row r="6" ht="24" customHeight="1">
      <x:c r="A6" s="2"/>
      <x:c r="B6" s="12" t="n">
        <x:v>15000</x:v>
      </x:c>
      <x:c r="C6" s="22" t="n">
        <x:f>B6*12</x:f>
        <x:v>180000</x:v>
      </x:c>
      <x:c r="D6" s="26" t="n">
        <x:f>IF(OR(C6&lt;=0,C6&gt;$C$13),"Fora do modelo",IF(C6&lt;=$C$12,$D$12,(C6*$D$13-$E$13)/C6))</x:f>
        <x:v>0.06</x:v>
      </x:c>
      <x:c r="E6" s="22" t="n">
        <x:f>IF(ISNUMBER(D6),B6*D6,"")</x:f>
        <x:v>900</x:v>
      </x:c>
      <x:c r="F6" s="26" t="n">
        <x:f>IF(OR(C6&lt;=0,C6&gt;$C$13),"Fora do modelo",IF(C6&lt;=$C$12,$F$12,(C6*$F$13-$G$13)/C6))</x:f>
        <x:v>0.155</x:v>
      </x:c>
      <x:c r="G6" s="22" t="n">
        <x:f>IF(ISNUMBER(F6),B6*F6,"")</x:f>
        <x:v>2325</x:v>
      </x:c>
      <x:c r="H6" s="2"/>
    </x:row>
    <x:row r="7" ht="24" customHeight="1">
      <x:c r="A7" s="2"/>
      <x:c r="B7" s="24" t="n">
        <x:f>'Premissas'!C6</x:f>
        <x:v>20000</x:v>
      </x:c>
      <x:c r="C7" s="22" t="n">
        <x:f>B7*12</x:f>
        <x:v>240000</x:v>
      </x:c>
      <x:c r="D7" s="26" t="n">
        <x:f>IF(OR(C7&lt;=0,C7&gt;$C$13),"Fora do modelo",IF(C7&lt;=$C$12,$D$12,(C7*$D$13-$E$13)/C7))</x:f>
        <x:v>0.073</x:v>
      </x:c>
      <x:c r="E7" s="22" t="n">
        <x:f>IF(ISNUMBER(D7),B7*D7,"")</x:f>
        <x:v>1460</x:v>
      </x:c>
      <x:c r="F7" s="26" t="n">
        <x:f>IF(OR(C7&lt;=0,C7&gt;$C$13),"Fora do modelo",IF(C7&lt;=$C$12,$F$12,(C7*$F$13-$G$13)/C7))</x:f>
        <x:v>0.16125</x:v>
      </x:c>
      <x:c r="G7" s="22" t="n">
        <x:f>IF(ISNUMBER(F7),B7*F7,"")</x:f>
        <x:v>3225</x:v>
      </x:c>
      <x:c r="H7" s="2"/>
    </x:row>
    <x:row r="8" ht="24" customHeight="1">
      <x:c r="A8" s="2"/>
      <x:c r="B8" s="24" t="n">
        <x:f>'Premissas'!C7</x:f>
        <x:v>25000</x:v>
      </x:c>
      <x:c r="C8" s="22" t="n">
        <x:f>B8*12</x:f>
        <x:v>300000</x:v>
      </x:c>
      <x:c r="D8" s="26" t="n">
        <x:f>IF(OR(C8&lt;=0,C8&gt;$C$13),"Fora do modelo",IF(C8&lt;=$C$12,$D$12,(C8*$D$13-$E$13)/C8))</x:f>
        <x:v>0.0808</x:v>
      </x:c>
      <x:c r="E8" s="22" t="n">
        <x:f>IF(ISNUMBER(D8),B8*D8,"")</x:f>
        <x:v>2020</x:v>
      </x:c>
      <x:c r="F8" s="26" t="n">
        <x:f>IF(OR(C8&lt;=0,C8&gt;$C$13),"Fora do modelo",IF(C8&lt;=$C$12,$F$12,(C8*$F$13-$G$13)/C8))</x:f>
        <x:v>0.165</x:v>
      </x:c>
      <x:c r="G8" s="22" t="n">
        <x:f>IF(ISNUMBER(F8),B8*F8,"")</x:f>
        <x:v>4125</x:v>
      </x:c>
      <x:c r="H8" s="2"/>
    </x:row>
    <x:row r="9" ht="24" customHeight="1">
      <x:c r="A9" s="2"/>
      <x:c r="B9" s="22"/>
      <x:c r="C9" s="22"/>
      <x:c r="D9" s="22"/>
      <x:c r="E9" s="22"/>
      <x:c r="F9" s="22"/>
      <x:c r="G9" s="22"/>
      <x:c r="H9" s="2"/>
    </x:row>
    <x:row r="10" ht="24" customHeight="1">
      <x:c r="A10" s="2"/>
      <x:c r="B10" s="22"/>
      <x:c r="C10" s="22"/>
      <x:c r="D10" s="22"/>
      <x:c r="E10" s="22"/>
      <x:c r="F10" s="22"/>
      <x:c r="G10" s="22"/>
      <x:c r="H10" s="2"/>
    </x:row>
    <x:row r="11" ht="38" customHeight="1">
      <x:c r="A11" s="2"/>
      <x:c r="B11" s="25" t="str">
        <x:v>Faixa</x:v>
      </x:c>
      <x:c r="C11" s="25" t="str">
        <x:v>Limite RBT12</x:v>
      </x:c>
      <x:c r="D11" s="25" t="str">
        <x:v>III nominal</x:v>
      </x:c>
      <x:c r="E11" s="25" t="str">
        <x:v>Dedução III</x:v>
      </x:c>
      <x:c r="F11" s="25" t="str">
        <x:v>V nominal</x:v>
      </x:c>
      <x:c r="G11" s="25" t="str">
        <x:v>Dedução V</x:v>
      </x:c>
      <x:c r="H11" s="2"/>
    </x:row>
    <x:row r="12" ht="24" customHeight="1">
      <x:c r="A12" s="2"/>
      <x:c r="B12" s="19" t="n">
        <x:v>1</x:v>
      </x:c>
      <x:c r="C12" s="22" t="n">
        <x:v>180000</x:v>
      </x:c>
      <x:c r="D12" s="26" t="n">
        <x:v>0.06</x:v>
      </x:c>
      <x:c r="E12" s="22" t="n">
        <x:v>0</x:v>
      </x:c>
      <x:c r="F12" s="26" t="n">
        <x:v>0.155</x:v>
      </x:c>
      <x:c r="G12" s="22" t="n">
        <x:v>0</x:v>
      </x:c>
      <x:c r="H12" s="2"/>
    </x:row>
    <x:row r="13" ht="24" customHeight="1">
      <x:c r="A13" s="2"/>
      <x:c r="B13" s="19" t="n">
        <x:v>2</x:v>
      </x:c>
      <x:c r="C13" s="22" t="n">
        <x:v>360000</x:v>
      </x:c>
      <x:c r="D13" s="26" t="n">
        <x:v>0.112</x:v>
      </x:c>
      <x:c r="E13" s="22" t="n">
        <x:v>9360</x:v>
      </x:c>
      <x:c r="F13" s="26" t="n">
        <x:v>0.18</x:v>
      </x:c>
      <x:c r="G13" s="22" t="n">
        <x:v>4500</x:v>
      </x:c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38" customHeight="1">
      <x:c r="A16" s="2"/>
      <x:c r="B16" s="9" t="str">
        <x:v>Parâmetro 2026</x:v>
      </x:c>
      <x:c r="C16" s="9" t="str">
        <x:v>Valor</x:v>
      </x:c>
      <x:c r="D16" s="2"/>
      <x:c r="E16" s="2"/>
      <x:c r="F16" s="2"/>
      <x:c r="G16" s="2"/>
      <x:c r="H16" s="2"/>
    </x:row>
    <x:row r="17" ht="24" customHeight="1">
      <x:c r="A17" s="2"/>
      <x:c r="B17" s="2" t="str">
        <x:v>INSS do sócio</x:v>
      </x:c>
      <x:c r="C17" s="20" t="n">
        <x:v>0.11</x:v>
      </x:c>
      <x:c r="D17" s="2"/>
      <x:c r="E17" s="2"/>
      <x:c r="F17" s="2"/>
      <x:c r="G17" s="2"/>
      <x:c r="H17" s="2"/>
    </x:row>
    <x:row r="18" ht="24" customHeight="1">
      <x:c r="A18" s="2"/>
      <x:c r="B18" s="2" t="str">
        <x:v>Teto previdenciário</x:v>
      </x:c>
      <x:c r="C18" s="22" t="n">
        <x:v>8475.55</x:v>
      </x:c>
      <x:c r="D18" s="2"/>
      <x:c r="E18" s="2"/>
      <x:c r="F18" s="2"/>
      <x:c r="G18" s="2"/>
      <x:c r="H18" s="2"/>
    </x:row>
    <x:row r="19" ht="24" customHeight="1">
      <x:c r="A19" s="2"/>
      <x:c r="B19" s="2" t="str">
        <x:v>Dedução simplificada IR mensal</x:v>
      </x:c>
      <x:c r="C19" s="22" t="n">
        <x:v>607.2</x:v>
      </x:c>
      <x:c r="D19" s="2"/>
      <x:c r="E19" s="2"/>
      <x:c r="F19" s="2"/>
      <x:c r="G19" s="2"/>
      <x:c r="H19" s="2"/>
    </x:row>
    <x:row r="20" ht="24" customHeight="1">
      <x:c r="A20" s="2"/>
      <x:c r="B20" s="2" t="str">
        <x:v>Limite para redução integral IR</x:v>
      </x:c>
      <x:c r="C20" s="22" t="n">
        <x:v>5000</x:v>
      </x:c>
      <x:c r="D20" s="2"/>
      <x:c r="E20" s="2"/>
      <x:c r="F20" s="2"/>
      <x:c r="G20" s="2"/>
      <x:c r="H20" s="2"/>
    </x:row>
    <x:row r="21" ht="24" customHeight="1">
      <x:c r="A21" s="2"/>
      <x:c r="B21" s="2" t="str">
        <x:v>Limite para redução parcial IR</x:v>
      </x:c>
      <x:c r="C21" s="22" t="n">
        <x:v>7350</x:v>
      </x:c>
      <x:c r="D21" s="2"/>
      <x:c r="E21" s="2"/>
      <x:c r="F21" s="2"/>
      <x:c r="G21" s="2"/>
      <x:c r="H21" s="2"/>
    </x:row>
    <x:row r="22" ht="24" customHeight="1">
      <x:c r="A22" s="2"/>
      <x:c r="B22" s="2" t="str">
        <x:v>Redução máxima IR</x:v>
      </x:c>
      <x:c r="C22" s="22" t="n">
        <x:v>312.89</x:v>
      </x:c>
      <x:c r="D22" s="2"/>
      <x:c r="E22" s="2"/>
      <x:c r="F22" s="2"/>
      <x:c r="G22" s="2"/>
      <x:c r="H22" s="2"/>
    </x:row>
    <x:row r="23" ht="24" customHeight="1">
      <x:c r="A23" s="2"/>
      <x:c r="B23" s="2" t="str">
        <x:v>Constante da redução parcial</x:v>
      </x:c>
      <x:c r="C23" s="22" t="n">
        <x:v>978.62</x:v>
      </x:c>
      <x:c r="D23" s="2"/>
      <x:c r="E23" s="2"/>
      <x:c r="F23" s="2"/>
      <x:c r="G23" s="2"/>
      <x:c r="H23" s="2"/>
    </x:row>
    <x:row r="24" ht="24" customHeight="1">
      <x:c r="A24" s="2"/>
      <x:c r="B24" s="2" t="str">
        <x:v>Coeficiente da redução parcial</x:v>
      </x:c>
      <x:c r="C24" s="27" t="n">
        <x:v>0.133145</x:v>
      </x:c>
      <x:c r="D24" s="2"/>
      <x:c r="E24" s="2"/>
      <x:c r="F24" s="2"/>
      <x:c r="G24" s="2"/>
      <x:c r="H24" s="2"/>
    </x:row>
    <x:row r="25" ht="24" customHeight="1">
      <x:c r="A25" s="2"/>
      <x:c r="B25" s="2" t="str">
        <x:v>Fator R mínimo</x:v>
      </x:c>
      <x:c r="C25" s="20" t="n">
        <x:v>0.28</x:v>
      </x:c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38" customHeight="1">
      <x:c r="A28" s="2"/>
      <x:c r="B28" s="9" t="str">
        <x:v>Base mensal IR até</x:v>
      </x:c>
      <x:c r="C28" s="9" t="str">
        <x:v>Alíquota IR</x:v>
      </x:c>
      <x:c r="D28" s="9" t="str">
        <x:v>Parcela a deduzir</x:v>
      </x:c>
      <x:c r="E28" s="2"/>
      <x:c r="F28" s="2"/>
      <x:c r="G28" s="2"/>
      <x:c r="H28" s="2"/>
    </x:row>
    <x:row r="29" ht="24" customHeight="1">
      <x:c r="A29" s="2"/>
      <x:c r="B29" s="22" t="n">
        <x:v>2428.8</x:v>
      </x:c>
      <x:c r="C29" s="20" t="n">
        <x:v>0</x:v>
      </x:c>
      <x:c r="D29" s="22" t="n">
        <x:v>0</x:v>
      </x:c>
      <x:c r="E29" s="2"/>
      <x:c r="F29" s="2"/>
      <x:c r="G29" s="2"/>
      <x:c r="H29" s="2"/>
    </x:row>
    <x:row r="30" ht="24" customHeight="1">
      <x:c r="A30" s="2"/>
      <x:c r="B30" s="22" t="n">
        <x:v>2826.65</x:v>
      </x:c>
      <x:c r="C30" s="20" t="n">
        <x:v>0.075</x:v>
      </x:c>
      <x:c r="D30" s="22" t="n">
        <x:v>182.16</x:v>
      </x:c>
      <x:c r="E30" s="2"/>
      <x:c r="F30" s="2"/>
      <x:c r="G30" s="2"/>
      <x:c r="H30" s="2"/>
    </x:row>
    <x:row r="31" ht="24" customHeight="1">
      <x:c r="A31" s="2"/>
      <x:c r="B31" s="22" t="n">
        <x:v>3751.05</x:v>
      </x:c>
      <x:c r="C31" s="20" t="n">
        <x:v>0.15</x:v>
      </x:c>
      <x:c r="D31" s="22" t="n">
        <x:v>394.16</x:v>
      </x:c>
      <x:c r="E31" s="2"/>
      <x:c r="F31" s="2"/>
      <x:c r="G31" s="2"/>
      <x:c r="H31" s="2"/>
    </x:row>
    <x:row r="32" ht="24" customHeight="1">
      <x:c r="A32" s="2"/>
      <x:c r="B32" s="22" t="n">
        <x:v>4664.68</x:v>
      </x:c>
      <x:c r="C32" s="20" t="n">
        <x:v>0.225</x:v>
      </x:c>
      <x:c r="D32" s="22" t="n">
        <x:v>675.49</x:v>
      </x:c>
      <x:c r="E32" s="2"/>
      <x:c r="F32" s="2"/>
      <x:c r="G32" s="2"/>
      <x:c r="H32" s="2"/>
    </x:row>
    <x:row r="33" ht="24" customHeight="1">
      <x:c r="A33" s="2"/>
      <x:c r="B33" s="22" t="str">
        <x:v>Acima de R$ 4.664,68</x:v>
      </x:c>
      <x:c r="C33" s="20" t="n">
        <x:v>0.275</x:v>
      </x:c>
      <x:c r="D33" s="22" t="n">
        <x:v>908.73</x:v>
      </x:c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6" customHeight="1">
      <x:c r="A36" s="2"/>
      <x:c r="B36" s="21" t="str">
        <x:v>Cenários estáveis, e não previsão do mês em que o faturamento subir.</x:v>
      </x:c>
      <x:c r="C36" s="2"/>
      <x:c r="D36" s="2"/>
      <x:c r="E36" s="2"/>
      <x:c r="F36" s="2"/>
      <x:c r="G36" s="2"/>
      <x:c r="H36" s="2"/>
    </x:row>
    <x:row r="37" ht="26" customHeight="1">
      <x:c r="A37" s="2"/>
      <x:c r="B37" s="21" t="str">
        <x:v>Cálculo restrito às duas primeiras faixas: RBT12 até R$ 360 mil.</x:v>
      </x:c>
      <x:c r="C37" s="2"/>
      <x:c r="D37" s="2"/>
      <x:c r="E37" s="2"/>
      <x:c r="F37" s="2"/>
      <x:c r="G37" s="2"/>
      <x:c r="H37" s="2"/>
    </x:row>
    <x:row r="38" ht="26" customHeight="1">
      <x:c r="A38" s="2"/>
      <x:c r="B38" s="21" t="str">
        <x:v>III pressupõe enquadramento confirmado; V integral é cenário de estresse.</x:v>
      </x:c>
      <x:c r="C38" s="2"/>
      <x:c r="D38" s="2"/>
      <x:c r="E38" s="2"/>
      <x:c r="F38" s="2"/>
      <x:c r="G38" s="2"/>
      <x:c r="H38" s="2"/>
    </x:row>
    <x:row r="39" ht="26" customHeight="1">
      <x:c r="A39" s="2"/>
      <x:c r="B39" s="21" t="str">
        <x:v>Motion e software podem exigir segregação por atividade no mesmo CNPJ.</x:v>
      </x:c>
      <x:c r="C39" s="2"/>
      <x:c r="D39" s="2"/>
      <x:c r="E39" s="2"/>
      <x:c r="F39" s="2"/>
      <x:c r="G39" s="2"/>
      <x:c r="H39" s="2"/>
    </x:row>
    <x:row r="40" ht="26" customHeight="1">
      <x:c r="A40" s="2"/>
      <x:c r="B40" s="21" t="str">
        <x:v>Fator R usa folha + encargos elegíveis pagos e receita total dos 12 meses anteriores.</x:v>
      </x:c>
      <x:c r="C40" s="2"/>
      <x:c r="D40" s="2"/>
      <x:c r="E40" s="2"/>
      <x:c r="F40" s="2"/>
      <x:c r="G40" s="2"/>
      <x:c r="H40" s="2"/>
    </x:row>
    <x:row r="41" ht="26" customHeight="1">
      <x:c r="A41" s="2"/>
      <x:c r="B41" s="21" t="str">
        <x:v>CPP do DAS pode compor o fator R; 28% não é uma obrigação exata de pró-labore.</x:v>
      </x:c>
      <x:c r="C41" s="2"/>
      <x:c r="D41" s="2"/>
      <x:c r="E41" s="2"/>
      <x:c r="F41" s="2"/>
      <x:c r="G41" s="2"/>
      <x:c r="H41" s="2"/>
    </x:row>
    <x:row r="42" ht="26" customHeight="1">
      <x:c r="A42" s="2"/>
      <x:c r="B42" s="21" t="str">
        <x:v>DAS nos III/V normalmente já inclui CPP e ISS. INSS do sócio fica fora.</x:v>
      </x:c>
      <x:c r="C42" s="2"/>
      <x:c r="D42" s="2"/>
      <x:c r="E42" s="2"/>
      <x:c r="F42" s="2"/>
      <x:c r="G42" s="2"/>
      <x:c r="H42" s="2"/>
    </x:row>
    <x:row r="43" ht="26" customHeight="1">
      <x:c r="A43" s="2"/>
      <x:c r="B43" s="21" t="str">
        <x:v>IRRF: sem dependentes, outras deduções ou outras fontes; ajuste anual pode diferir.</x:v>
      </x:c>
      <x:c r="C43" s="2"/>
      <x:c r="D43" s="2"/>
      <x:c r="E43" s="2"/>
      <x:c r="F43" s="2"/>
      <x:c r="G43" s="2"/>
      <x:c r="H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2"/>
      <x:c r="B2" s="4" t="str">
        <x:v>Resultado mensal da empresa</x:v>
      </x:c>
      <x:c r="C2" s="5"/>
      <x:c r="D2" s="5"/>
      <x:c r="E2" s="5"/>
      <x:c r="F2" s="5"/>
    </x:row>
    <x:row r="3" ht="24" customHeight="1">
      <x:c r="A3" s="2"/>
      <x:c r="B3" s="6" t="str">
        <x:v>Simulação mensal · regras de 2026 como referência para planejar 2027</x:v>
      </x:c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8" customHeight="1">
      <x:c r="A5" s="2"/>
      <x:c r="B5" s="9" t="str">
        <x:v>Item</x:v>
      </x:c>
      <x:c r="C5" s="9" t="str">
        <x:v>20 mil — III</x:v>
      </x:c>
      <x:c r="D5" s="9" t="str">
        <x:v>25 mil — III</x:v>
      </x:c>
      <x:c r="E5" s="9" t="str">
        <x:v>20 mil — V</x:v>
      </x:c>
      <x:c r="F5" s="9" t="str">
        <x:v>25 mil — V</x:v>
      </x:c>
    </x:row>
    <x:row r="6" ht="24" customHeight="1">
      <x:c r="A6" s="2"/>
      <x:c r="B6" s="2"/>
      <x:c r="C6" s="2"/>
      <x:c r="D6" s="2"/>
      <x:c r="E6" s="2"/>
      <x:c r="F6" s="2"/>
    </x:row>
    <x:row r="7" ht="24" customHeight="1">
      <x:c r="A7" s="2"/>
      <x:c r="B7" s="2" t="str">
        <x:v>Faturamento mensal</x:v>
      </x:c>
      <x:c r="C7" s="24" t="n">
        <x:f>'Simples'!B7</x:f>
        <x:v>20000</x:v>
      </x:c>
      <x:c r="D7" s="24" t="n">
        <x:f>'Simples'!B8</x:f>
        <x:v>25000</x:v>
      </x:c>
      <x:c r="E7" s="24" t="n">
        <x:f>'Simples'!B7</x:f>
        <x:v>20000</x:v>
      </x:c>
      <x:c r="F7" s="24" t="n">
        <x:f>'Simples'!B8</x:f>
        <x:v>25000</x:v>
      </x:c>
    </x:row>
    <x:row r="8" ht="24" customHeight="1">
      <x:c r="A8" s="2"/>
      <x:c r="B8" s="2" t="str">
        <x:v>Receita acumulada em 12 meses</x:v>
      </x:c>
      <x:c r="C8" s="24" t="n">
        <x:f>'Simples'!C7</x:f>
        <x:v>240000</x:v>
      </x:c>
      <x:c r="D8" s="24" t="n">
        <x:f>'Simples'!C8</x:f>
        <x:v>300000</x:v>
      </x:c>
      <x:c r="E8" s="24" t="n">
        <x:f>'Simples'!C7</x:f>
        <x:v>240000</x:v>
      </x:c>
      <x:c r="F8" s="24" t="n">
        <x:f>'Simples'!C8</x:f>
        <x:v>300000</x:v>
      </x:c>
    </x:row>
    <x:row r="9" ht="24" customHeight="1">
      <x:c r="A9" s="2"/>
      <x:c r="B9" s="2" t="str">
        <x:v>Alíquota efetiva do DAS</x:v>
      </x:c>
      <x:c r="C9" s="28" t="n">
        <x:f>'Simples'!D7</x:f>
        <x:v>0.073</x:v>
      </x:c>
      <x:c r="D9" s="28" t="n">
        <x:f>'Simples'!D8</x:f>
        <x:v>0.0808</x:v>
      </x:c>
      <x:c r="E9" s="28" t="n">
        <x:f>'Simples'!F7</x:f>
        <x:v>0.16125</x:v>
      </x:c>
      <x:c r="F9" s="28" t="n">
        <x:f>'Simples'!F8</x:f>
        <x:v>0.165</x:v>
      </x:c>
    </x:row>
    <x:row r="10" ht="24" customHeight="1">
      <x:c r="A10" s="2"/>
      <x:c r="B10" s="2"/>
      <x:c r="C10" s="22"/>
      <x:c r="D10" s="22"/>
      <x:c r="E10" s="22"/>
      <x:c r="F10" s="22"/>
    </x:row>
    <x:row r="11" ht="24" customHeight="1">
      <x:c r="A11" s="2"/>
      <x:c r="B11" s="2" t="str">
        <x:v>DAS</x:v>
      </x:c>
      <x:c r="C11" s="22" t="n">
        <x:f>C7*C9</x:f>
        <x:v>1460</x:v>
      </x:c>
      <x:c r="D11" s="22" t="n">
        <x:f>D7*D9</x:f>
        <x:v>2020</x:v>
      </x:c>
      <x:c r="E11" s="22" t="n">
        <x:f>E7*E9</x:f>
        <x:v>3225</x:v>
      </x:c>
      <x:c r="F11" s="22" t="n">
        <x:f>F7*F9</x:f>
        <x:v>4125</x:v>
      </x:c>
    </x:row>
    <x:row r="12" ht="24" customHeight="1">
      <x:c r="A12" s="2"/>
      <x:c r="B12" s="2" t="str">
        <x:v>Contabilidade</x:v>
      </x:c>
      <x:c r="C12" s="24" t="n">
        <x:f>'Premissas'!C11</x:f>
        <x:v>200</x:v>
      </x:c>
      <x:c r="D12" s="24" t="n">
        <x:f>'Premissas'!C11</x:f>
        <x:v>200</x:v>
      </x:c>
      <x:c r="E12" s="24" t="n">
        <x:f>'Premissas'!C11</x:f>
        <x:v>200</x:v>
      </x:c>
      <x:c r="F12" s="24" t="n">
        <x:f>'Premissas'!C11</x:f>
        <x:v>200</x:v>
      </x:c>
    </x:row>
    <x:row r="13" ht="24" customHeight="1">
      <x:c r="A13" s="2"/>
      <x:c r="B13" s="2" t="str">
        <x:v>Supabase</x:v>
      </x:c>
      <x:c r="C13" s="24" t="n">
        <x:f>'Premissas'!C12</x:f>
        <x:v>200</x:v>
      </x:c>
      <x:c r="D13" s="24" t="n">
        <x:f>'Premissas'!C12</x:f>
        <x:v>200</x:v>
      </x:c>
      <x:c r="E13" s="24" t="n">
        <x:f>'Premissas'!C12</x:f>
        <x:v>200</x:v>
      </x:c>
      <x:c r="F13" s="24" t="n">
        <x:f>'Premissas'!C12</x:f>
        <x:v>200</x:v>
      </x:c>
    </x:row>
    <x:row r="14" ht="24" customHeight="1">
      <x:c r="A14" s="2"/>
      <x:c r="B14" s="2" t="str">
        <x:v>IA — fatura total</x:v>
      </x:c>
      <x:c r="C14" s="24" t="n">
        <x:f>'Premissas'!C13</x:f>
        <x:v>1100</x:v>
      </x:c>
      <x:c r="D14" s="24" t="n">
        <x:f>'Premissas'!C13</x:f>
        <x:v>1100</x:v>
      </x:c>
      <x:c r="E14" s="24" t="n">
        <x:f>'Premissas'!C13</x:f>
        <x:v>1100</x:v>
      </x:c>
      <x:c r="F14" s="24" t="n">
        <x:f>'Premissas'!C13</x:f>
        <x:v>1100</x:v>
      </x:c>
    </x:row>
    <x:row r="15" ht="24" customHeight="1">
      <x:c r="A15" s="2"/>
      <x:c r="B15" s="2" t="str">
        <x:v>Demais despesas informadas</x:v>
      </x:c>
      <x:c r="C15" s="24" t="n">
        <x:f>'Premissas'!C37+'Premissas'!C33</x:f>
        <x:v>0</x:v>
      </x:c>
      <x:c r="D15" s="24" t="n">
        <x:f>'Premissas'!C37+'Premissas'!C33</x:f>
        <x:v>0</x:v>
      </x:c>
      <x:c r="E15" s="24" t="n">
        <x:f>'Premissas'!C37+'Premissas'!C33</x:f>
        <x:v>0</x:v>
      </x:c>
      <x:c r="F15" s="24" t="n">
        <x:f>'Premissas'!C37+'Premissas'!C33</x:f>
        <x:v>0</x:v>
      </x:c>
    </x:row>
    <x:row r="16" ht="24" customHeight="1">
      <x:c r="A16" s="2"/>
      <x:c r="B16" s="33" t="str">
        <x:v>Subtotal de tributos e despesas</x:v>
      </x:c>
      <x:c r="C16" s="34" t="n">
        <x:f>SUM(C11:C15)</x:f>
        <x:v>2960</x:v>
      </x:c>
      <x:c r="D16" s="34" t="n">
        <x:f>SUM(D11:D15)</x:f>
        <x:v>3520</x:v>
      </x:c>
      <x:c r="E16" s="34" t="n">
        <x:f>SUM(E11:E15)</x:f>
        <x:v>4725</x:v>
      </x:c>
      <x:c r="F16" s="34" t="n">
        <x:f>SUM(F11:F15)</x:f>
        <x:v>5625</x:v>
      </x:c>
    </x:row>
    <x:row r="17" ht="24" customHeight="1">
      <x:c r="A17" s="2"/>
      <x:c r="B17" s="2"/>
      <x:c r="C17" s="22"/>
      <x:c r="D17" s="22"/>
      <x:c r="E17" s="22"/>
      <x:c r="F17" s="22"/>
    </x:row>
    <x:row r="18" ht="24" customHeight="1">
      <x:c r="A18" s="2"/>
      <x:c r="B18" s="2" t="str">
        <x:v>Pró-labore bruto</x:v>
      </x:c>
      <x:c r="C18" s="24" t="n">
        <x:f>C7*'Premissas'!C10</x:f>
        <x:v>6000</x:v>
      </x:c>
      <x:c r="D18" s="24" t="n">
        <x:f>D7*'Premissas'!C10</x:f>
        <x:v>7500</x:v>
      </x:c>
      <x:c r="E18" s="24" t="n">
        <x:f>'Premissas'!C9</x:f>
        <x:v>4200</x:v>
      </x:c>
      <x:c r="F18" s="24" t="n">
        <x:f>'Premissas'!C9</x:f>
        <x:v>4200</x:v>
      </x:c>
    </x:row>
    <x:row r="19" ht="24" customHeight="1">
      <x:c r="A19" s="2"/>
      <x:c r="B19" s="33" t="str">
        <x:v>Resultado após pró-labore — parcial</x:v>
      </x:c>
      <x:c r="C19" s="34" t="n">
        <x:f>C7-C16-C18</x:f>
        <x:v>11040</x:v>
      </x:c>
      <x:c r="D19" s="34" t="n">
        <x:f>D7-D16-D18</x:f>
        <x:v>13980</x:v>
      </x:c>
      <x:c r="E19" s="34" t="n">
        <x:f>E7-E16-E18</x:f>
        <x:v>11075</x:v>
      </x:c>
      <x:c r="F19" s="34" t="n">
        <x:f>F7-F16-F18</x:f>
        <x:v>15175</x:v>
      </x:c>
    </x:row>
    <x:row r="20" ht="24" customHeight="1">
      <x:c r="A20" s="2"/>
      <x:c r="B20" s="33" t="str">
        <x:v>Resultado completo</x:v>
      </x:c>
      <x:c r="C20" s="37" t="str">
        <x:f>IF('Premissas'!C38&gt;0,"Despesas a informar",C19)</x:f>
        <x:v>Despesas a informar</x:v>
      </x:c>
      <x:c r="D20" s="37" t="str">
        <x:f>IF('Premissas'!C38&gt;0,"Despesas a informar",D19)</x:f>
        <x:v>Despesas a informar</x:v>
      </x:c>
      <x:c r="E20" s="37" t="str">
        <x:f>IF('Premissas'!C38&gt;0,"Despesas a informar",E19)</x:f>
        <x:v>Despesas a informar</x:v>
      </x:c>
      <x:c r="F20" s="37" t="str">
        <x:f>IF('Premissas'!C38&gt;0,"Despesas a informar",F19)</x:f>
        <x:v>Despesas a informar</x:v>
      </x:c>
    </x:row>
    <x:row r="21" ht="24" customHeight="1">
      <x:c r="A21" s="2"/>
      <x:c r="B21" s="2"/>
      <x:c r="C21" s="22"/>
      <x:c r="D21" s="22"/>
      <x:c r="E21" s="22"/>
      <x:c r="F21" s="22"/>
    </x:row>
    <x:row r="22" ht="24" customHeight="1">
      <x:c r="A22" s="2"/>
      <x:c r="B22" s="2" t="str">
        <x:v>INSS retido do sócio</x:v>
      </x:c>
      <x:c r="C22" s="24" t="n">
        <x:f>ROUND(MIN(C18,'Simples'!$C$18)*'Simples'!$C$17,2)</x:f>
        <x:v>660</x:v>
      </x:c>
      <x:c r="D22" s="24" t="n">
        <x:f>ROUND(MIN(D18,'Simples'!$C$18)*'Simples'!$C$17,2)</x:f>
        <x:v>825</x:v>
      </x:c>
      <x:c r="E22" s="24" t="n">
        <x:f>ROUND(MIN(E18,'Simples'!$C$18)*'Simples'!$C$17,2)</x:f>
        <x:v>462</x:v>
      </x:c>
      <x:c r="F22" s="24" t="n">
        <x:f>ROUND(MIN(F18,'Simples'!$C$18)*'Simples'!$C$17,2)</x:f>
        <x:v>462</x:v>
      </x:c>
    </x:row>
    <x:row r="23" ht="24" customHeight="1">
      <x:c r="A23" s="2"/>
      <x:c r="B23" s="2" t="str">
        <x:v>Dedução adotada para IRRF</x:v>
      </x:c>
      <x:c r="C23" s="24" t="n">
        <x:f>MAX(C22,'Simples'!$C$19)</x:f>
        <x:v>660</x:v>
      </x:c>
      <x:c r="D23" s="24" t="n">
        <x:f>MAX(D22,'Simples'!$C$19)</x:f>
        <x:v>825</x:v>
      </x:c>
      <x:c r="E23" s="24" t="n">
        <x:f>MAX(E22,'Simples'!$C$19)</x:f>
        <x:v>607.2</x:v>
      </x:c>
      <x:c r="F23" s="24" t="n">
        <x:f>MAX(F22,'Simples'!$C$19)</x:f>
        <x:v>607.2</x:v>
      </x:c>
    </x:row>
    <x:row r="24" ht="24" customHeight="1">
      <x:c r="A24" s="2"/>
      <x:c r="B24" s="2" t="str">
        <x:v>Base de cálculo do IRRF</x:v>
      </x:c>
      <x:c r="C24" s="22" t="n">
        <x:f>MAX(0,C18-C23)</x:f>
        <x:v>5340</x:v>
      </x:c>
      <x:c r="D24" s="22" t="n">
        <x:f>MAX(0,D18-D23)</x:f>
        <x:v>6675</x:v>
      </x:c>
      <x:c r="E24" s="22" t="n">
        <x:f>MAX(0,E18-E23)</x:f>
        <x:v>3592.8</x:v>
      </x:c>
      <x:c r="F24" s="22" t="n">
        <x:f>MAX(0,F18-F23)</x:f>
        <x:v>3592.8</x:v>
      </x:c>
    </x:row>
    <x:row r="25" ht="24" customHeight="1">
      <x:c r="A25" s="2"/>
      <x:c r="B25" s="2" t="str">
        <x:v>IR antes da redução</x:v>
      </x:c>
      <x:c r="C25" s="24" t="n">
        <x:f>MAX(0,IF(C24&lt;='Simples'!$B$29,0,IF(C24&lt;='Simples'!$B$30,C24*'Simples'!$C$30-'Simples'!$D$30,IF(C24&lt;='Simples'!$B$31,C24*'Simples'!$C$31-'Simples'!$D$31,IF(C24&lt;='Simples'!$B$32,C24*'Simples'!$C$32-'Simples'!$D$32,C24*'Simples'!$C$33-'Simples'!$D$33)))))</x:f>
        <x:v>559.7700000000002</x:v>
      </x:c>
      <x:c r="D25" s="24" t="n">
        <x:f>MAX(0,IF(D24&lt;='Simples'!$B$29,0,IF(D24&lt;='Simples'!$B$30,D24*'Simples'!$C$30-'Simples'!$D$30,IF(D24&lt;='Simples'!$B$31,D24*'Simples'!$C$31-'Simples'!$D$31,IF(D24&lt;='Simples'!$B$32,D24*'Simples'!$C$32-'Simples'!$D$32,D24*'Simples'!$C$33-'Simples'!$D$33)))))</x:f>
        <x:v>926.8950000000002</x:v>
      </x:c>
      <x:c r="E25" s="24" t="n">
        <x:f>MAX(0,IF(E24&lt;='Simples'!$B$29,0,IF(E24&lt;='Simples'!$B$30,E24*'Simples'!$C$30-'Simples'!$D$30,IF(E24&lt;='Simples'!$B$31,E24*'Simples'!$C$31-'Simples'!$D$31,IF(E24&lt;='Simples'!$B$32,E24*'Simples'!$C$32-'Simples'!$D$32,E24*'Simples'!$C$33-'Simples'!$D$33)))))</x:f>
        <x:v>144.75999999999993</x:v>
      </x:c>
      <x:c r="F25" s="24" t="n">
        <x:f>MAX(0,IF(F24&lt;='Simples'!$B$29,0,IF(F24&lt;='Simples'!$B$30,F24*'Simples'!$C$30-'Simples'!$D$30,IF(F24&lt;='Simples'!$B$31,F24*'Simples'!$C$31-'Simples'!$D$31,IF(F24&lt;='Simples'!$B$32,F24*'Simples'!$C$32-'Simples'!$D$32,F24*'Simples'!$C$33-'Simples'!$D$33)))))</x:f>
        <x:v>144.75999999999993</x:v>
      </x:c>
    </x:row>
    <x:row r="26" ht="24" customHeight="1">
      <x:c r="A26" s="2"/>
      <x:c r="B26" s="2" t="str">
        <x:v>Redução do IR</x:v>
      </x:c>
      <x:c r="C26" s="24" t="n">
        <x:f>IF(C18&lt;='Simples'!$C$20,MIN(C25,'Simples'!$C$22),IF(C18&lt;='Simples'!$C$21,MIN(C25,MAX(0,'Simples'!$C$23-'Simples'!$C$24*C18)),0))</x:f>
        <x:v>179.7499999999999</x:v>
      </x:c>
      <x:c r="D26" s="24" t="n">
        <x:f>IF(D18&lt;='Simples'!$C$20,MIN(D25,'Simples'!$C$22),IF(D18&lt;='Simples'!$C$21,MIN(D25,MAX(0,'Simples'!$C$23-'Simples'!$C$24*D18)),0))</x:f>
        <x:v>0</x:v>
      </x:c>
      <x:c r="E26" s="24" t="n">
        <x:f>IF(E18&lt;='Simples'!$C$20,MIN(E25,'Simples'!$C$22),IF(E18&lt;='Simples'!$C$21,MIN(E25,MAX(0,'Simples'!$C$23-'Simples'!$C$24*E18)),0))</x:f>
        <x:v>144.75999999999993</x:v>
      </x:c>
      <x:c r="F26" s="24" t="n">
        <x:f>IF(F18&lt;='Simples'!$C$20,MIN(F25,'Simples'!$C$22),IF(F18&lt;='Simples'!$C$21,MIN(F25,MAX(0,'Simples'!$C$23-'Simples'!$C$24*F18)),0))</x:f>
        <x:v>144.75999999999993</x:v>
      </x:c>
    </x:row>
    <x:row r="27" ht="24" customHeight="1">
      <x:c r="A27" s="2"/>
      <x:c r="B27" s="2" t="str">
        <x:v>IRRF retido do sócio</x:v>
      </x:c>
      <x:c r="C27" s="22" t="n">
        <x:f>ROUND(MAX(0,C25-C26),2)</x:f>
        <x:v>380.02</x:v>
      </x:c>
      <x:c r="D27" s="22" t="n">
        <x:f>ROUND(MAX(0,D25-D26),2)</x:f>
        <x:v>926.9</x:v>
      </x:c>
      <x:c r="E27" s="22" t="n">
        <x:f>ROUND(MAX(0,E25-E26),2)</x:f>
        <x:v>0</x:v>
      </x:c>
      <x:c r="F27" s="22" t="n">
        <x:f>ROUND(MAX(0,F25-F26),2)</x:f>
        <x:v>0</x:v>
      </x:c>
    </x:row>
    <x:row r="28" ht="24" customHeight="1">
      <x:c r="A28" s="2"/>
      <x:c r="B28" s="33" t="str">
        <x:v>Pró-labore líquido</x:v>
      </x:c>
      <x:c r="C28" s="34" t="n">
        <x:f>C18-C22-C27</x:f>
        <x:v>4959.98</x:v>
      </x:c>
      <x:c r="D28" s="34" t="n">
        <x:f>D18-D22-D27</x:f>
        <x:v>5748.1</x:v>
      </x:c>
      <x:c r="E28" s="34" t="n">
        <x:f>E18-E22-E27</x:f>
        <x:v>3738</x:v>
      </x:c>
      <x:c r="F28" s="34" t="n">
        <x:f>F18-F22-F27</x:f>
        <x:v>3738</x:v>
      </x:c>
    </x:row>
    <x:row r="29" ht="24" customHeight="1">
      <x:c r="A29" s="2"/>
      <x:c r="B29" s="2"/>
      <x:c r="C29" s="22"/>
      <x:c r="D29" s="22"/>
      <x:c r="E29" s="22"/>
      <x:c r="F29" s="22"/>
    </x:row>
    <x:row r="30" ht="24" customHeight="1">
      <x:c r="A30" s="2"/>
      <x:c r="B30" s="33" t="str">
        <x:v>Pró-labore líquido + resultado parcial</x:v>
      </x:c>
      <x:c r="C30" s="34" t="n">
        <x:f>C19+C28</x:f>
        <x:v>15999.98</x:v>
      </x:c>
      <x:c r="D30" s="34" t="n">
        <x:f>D19+D28</x:f>
        <x:v>19728.1</x:v>
      </x:c>
      <x:c r="E30" s="34" t="n">
        <x:f>E19+E28</x:f>
        <x:v>14813</x:v>
      </x:c>
      <x:c r="F30" s="34" t="n">
        <x:f>F19+F28</x:f>
        <x:v>18913</x:v>
      </x:c>
    </x:row>
    <x:row r="31" ht="24" customHeight="1">
      <x:c r="A31" s="2"/>
      <x:c r="B31" s="2" t="str">
        <x:v>Reserva de caixa informada</x:v>
      </x:c>
      <x:c r="C31" s="24" t="n">
        <x:f>IF(ISNUMBER('Premissas'!C34),'Premissas'!C34,0)</x:f>
        <x:v>0</x:v>
      </x:c>
      <x:c r="D31" s="24" t="n">
        <x:f>IF(ISNUMBER('Premissas'!C34),'Premissas'!C34,0)</x:f>
        <x:v>0</x:v>
      </x:c>
      <x:c r="E31" s="24" t="n">
        <x:f>IF(ISNUMBER('Premissas'!C34),'Premissas'!C34,0)</x:f>
        <x:v>0</x:v>
      </x:c>
      <x:c r="F31" s="24" t="n">
        <x:f>IF(ISNUMBER('Premissas'!C34),'Premissas'!C34,0)</x:f>
        <x:v>0</x:v>
      </x:c>
    </x:row>
    <x:row r="32" ht="24" customHeight="1">
      <x:c r="A32" s="2"/>
      <x:c r="B32" s="33" t="str">
        <x:v>Disponível parcial após reserva</x:v>
      </x:c>
      <x:c r="C32" s="34" t="n">
        <x:f>C30-C31</x:f>
        <x:v>15999.98</x:v>
      </x:c>
      <x:c r="D32" s="34" t="n">
        <x:f>D30-D31</x:f>
        <x:v>19728.1</x:v>
      </x:c>
      <x:c r="E32" s="34" t="n">
        <x:f>E30-E31</x:f>
        <x:v>14813</x:v>
      </x:c>
      <x:c r="F32" s="34" t="n">
        <x:f>F30-F31</x:f>
        <x:v>18913</x:v>
      </x:c>
    </x:row>
    <x:row r="33" ht="24" customHeight="1">
      <x:c r="A33" s="2"/>
      <x:c r="B33" s="2" t="str">
        <x:v>DAS + INSS + IRRF / faturamento</x:v>
      </x:c>
      <x:c r="C33" s="20" t="n">
        <x:f>(C11+C22+C27)/C7</x:f>
        <x:v>0.125001</x:v>
      </x:c>
      <x:c r="D33" s="20" t="n">
        <x:f>(D11+D22+D27)/D7</x:f>
        <x:v>0.150876</x:v>
      </x:c>
      <x:c r="E33" s="20" t="n">
        <x:f>(E11+E22+E27)/E7</x:f>
        <x:v>0.18435</x:v>
      </x:c>
      <x:c r="F33" s="20" t="n">
        <x:f>(F11+F22+F27)/F7</x:f>
        <x:v>0.18348</x:v>
      </x:c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6" customHeight="1">
      <x:c r="A36" s="2"/>
      <x:c r="B36" s="21" t="str">
        <x:v>Resultado parcial: apenas despesas preenchidas. Não é autorização para distribuir lucros.</x:v>
      </x:c>
      <x:c r="C36" s="2"/>
      <x:c r="D36" s="2"/>
      <x:c r="E36" s="2"/>
      <x:c r="F36" s="2"/>
    </x:row>
    <x:row r="37" ht="26" customHeight="1">
      <x:c r="A37" s="2"/>
      <x:c r="B37" s="21" t="str">
        <x:v>INSS e IRRF já saem do pró-labore bruto: não são deduzidos outra vez do resultado da PJ.</x:v>
      </x:c>
      <x:c r="C37" s="2"/>
      <x:c r="D37" s="2"/>
      <x:c r="E37" s="2"/>
      <x:c r="F37" s="2"/>
    </x:row>
    <x:row r="38" ht="26" customHeight="1">
      <x:c r="A38" s="2"/>
      <x:c r="B38" s="21" t="str">
        <x:v>Cenários III usam pró-labore de 30%; cenários V mantêm os R$ 4.200 atuais.</x:v>
      </x:c>
      <x:c r="C38" s="2"/>
      <x:c r="D38" s="2"/>
      <x:c r="E38" s="2"/>
      <x:c r="F38" s="2"/>
    </x:row>
    <x:row r="39" ht="26" customHeight="1">
      <x:c r="A39" s="2"/>
      <x:c r="B39" s="21" t="str">
        <x:v>O V sobre toda receita é estresse; motion pode permanecer no III e exige segregação.</x:v>
      </x:c>
      <x:c r="C39" s="2"/>
      <x:c r="D39" s="2"/>
      <x:c r="E39" s="2"/>
      <x:c r="F39" s="2"/>
    </x:row>
    <x:row r="40" ht="26" customHeight="1">
      <x:c r="A40" s="2"/>
      <x:c r="B40" s="21" t="str">
        <x:v>Pró-labore líquido + resultado pressupõe distribuição integral do lucro apurado.</x:v>
      </x:c>
      <x:c r="C40" s="2"/>
      <x:c r="D40" s="2"/>
      <x:c r="E40" s="2"/>
      <x:c r="F40" s="2"/>
    </x:row>
    <x:row r="41" ht="26" customHeight="1">
      <x:c r="A41" s="2"/>
      <x:c r="B41" s="21" t="str">
        <x:v>Não inclui ajuste anual do IRPF, tributos de importação ainda não preenchidos ou IBS/CBS regular.</x:v>
      </x:c>
      <x:c r="C41" s="2"/>
      <x:c r="D41" s="2"/>
      <x:c r="E41" s="2"/>
      <x:c r="F41" s="2"/>
    </x:row>
    <x:row r="42" ht="26" customHeight="1">
      <x:c r="A42" s="2"/>
      <x:c r="B42" s="21" t="str">
        <x:v>Reserva em branco fica fora do subtotal parcial. Equipamentos podem alterar o caixa sem alterar o lucro.</x:v>
      </x:c>
      <x:c r="C42" s="2"/>
      <x:c r="D42" s="2"/>
      <x:c r="E42" s="2"/>
      <x:c r="F42" s="2"/>
    </x:row>
    <x:row r="43" ht="24" customHeight="1">
      <x:c r="A43" s="2"/>
      <x:c r="B43" s="2"/>
      <x:c r="C43" s="2"/>
      <x:c r="D43" s="2"/>
      <x:c r="E43" s="2"/>
      <x:c r="F43" s="2"/>
    </x:row>
    <x:row r="44" ht="24" customHeight="1">
      <x:c r="A44" s="2"/>
      <x:c r="B44" s="2"/>
      <x:c r="C44" s="2"/>
      <x:c r="D44" s="2"/>
      <x:c r="E44" s="2"/>
      <x:c r="F44" s="2"/>
    </x:row>
    <x:row r="45" ht="24" customHeight="1">
      <x:c r="A45" s="2"/>
      <x:c r="B45" s="2"/>
      <x:c r="C45" s="2"/>
      <x:c r="D45" s="2"/>
      <x:c r="E45" s="2"/>
      <x:c r="F4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2"/>
      <x:c r="B2" s="4" t="str">
        <x:v>Arizona: custos e horas contratadas</x:v>
      </x:c>
      <x:c r="C2" s="5"/>
      <x:c r="D2" s="5"/>
      <x:c r="E2" s="5"/>
      <x:c r="F2" s="5"/>
    </x:row>
    <x:row r="3" ht="24" customHeight="1">
      <x:c r="A3" s="2"/>
      <x:c r="B3" s="6" t="str">
        <x:v>Simulação mensal · regras de 2026 como referência para planejar 2027</x:v>
      </x:c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52" customHeight="1">
      <x:c r="A5" s="2"/>
      <x:c r="B5" s="2" t="str">
        <x:v>Cenário da empresa (1 a 4)</x:v>
      </x:c>
      <x:c r="C5" s="38" t="n">
        <x:v>2</x:v>
      </x:c>
      <x:c r="D5" s="13" t="str">
        <x:v>1=20 mil III; 2=25 mil III; 3=20 mil V; 4=25 mil V</x:v>
      </x:c>
      <x:c r="E5" s="13"/>
      <x:c r="F5" s="13"/>
    </x:row>
    <x:row r="6" ht="24" customHeight="1">
      <x:c r="A6" s="2"/>
      <x:c r="B6" s="2" t="str">
        <x:v>Receita total da empresa</x:v>
      </x:c>
      <x:c r="C6" s="24" t="n">
        <x:f>INDEX('Empresa'!C7:F7,1,C5)</x:f>
        <x:v>25000</x:v>
      </x:c>
      <x:c r="D6" s="2"/>
      <x:c r="E6" s="2"/>
      <x:c r="F6" s="2"/>
    </x:row>
    <x:row r="7" ht="24" customHeight="1">
      <x:c r="A7" s="2"/>
      <x:c r="B7" s="2" t="str">
        <x:v>DAS efetivo utilizado</x:v>
      </x:c>
      <x:c r="C7" s="28" t="n">
        <x:f>INDEX('Empresa'!C9:F9,1,C5)</x:f>
        <x:v>0.0808</x:v>
      </x:c>
      <x:c r="D7" s="2"/>
      <x:c r="E7" s="2"/>
      <x:c r="F7" s="2"/>
    </x:row>
    <x:row r="8" ht="24" customHeight="1">
      <x:c r="A8" s="2"/>
      <x:c r="B8" s="2"/>
      <x:c r="C8" s="2"/>
      <x:c r="D8" s="2"/>
      <x:c r="E8" s="2"/>
      <x:c r="F8" s="2"/>
    </x:row>
    <x:row r="9" ht="38" customHeight="1">
      <x:c r="A9" s="2"/>
      <x:c r="B9" s="9" t="str">
        <x:v>Item</x:v>
      </x:c>
      <x:c r="C9" s="9" t="str">
        <x:v>Só licença</x:v>
      </x:c>
      <x:c r="D9" s="9" t="str">
        <x:v>8 h/mês</x:v>
      </x:c>
      <x:c r="E9" s="9" t="str">
        <x:v>8 h/semana</x:v>
      </x:c>
      <x:c r="F9" s="2"/>
    </x:row>
    <x:row r="10" ht="24" customHeight="1">
      <x:c r="A10" s="2"/>
      <x:c r="B10" s="2" t="str">
        <x:v>Receita mensal do plano</x:v>
      </x:c>
      <x:c r="C10" s="24" t="n">
        <x:f>'Premissas'!C15</x:f>
        <x:v>1200</x:v>
      </x:c>
      <x:c r="D10" s="24" t="n">
        <x:f>'Premissas'!C16</x:f>
        <x:v>2000</x:v>
      </x:c>
      <x:c r="E10" s="24" t="n">
        <x:f>'Premissas'!C16</x:f>
        <x:v>2000</x:v>
      </x:c>
      <x:c r="F10" s="2"/>
    </x:row>
    <x:row r="11" ht="24" customHeight="1">
      <x:c r="A11" s="2"/>
      <x:c r="B11" s="2" t="str">
        <x:v>Horas extras contratadas / mês</x:v>
      </x:c>
      <x:c r="C11" s="39" t="n">
        <x:v>0</x:v>
      </x:c>
      <x:c r="D11" s="40" t="n">
        <x:f>'Premissas'!C17</x:f>
        <x:v>8</x:v>
      </x:c>
      <x:c r="E11" s="40" t="n">
        <x:f>'Premissas'!C18*52/12</x:f>
        <x:v>34.666666666666664</x:v>
      </x:c>
      <x:c r="F11" s="2"/>
    </x:row>
    <x:row r="12" ht="24" customHeight="1">
      <x:c r="A12" s="2"/>
      <x:c r="B12" s="2" t="str">
        <x:v>Horas cobertas de manutenção</x:v>
      </x:c>
      <x:c r="C12" s="40" t="str">
        <x:f>IF(ISNUMBER('Premissas'!C21),'Premissas'!C21,"Horas a informar")</x:f>
        <x:v>Horas a informar</x:v>
      </x:c>
      <x:c r="D12" s="40" t="str">
        <x:f>IF(ISNUMBER('Premissas'!C21),'Premissas'!C21,"Horas a informar")</x:f>
        <x:v>Horas a informar</x:v>
      </x:c>
      <x:c r="E12" s="40" t="str">
        <x:f>IF(ISNUMBER('Premissas'!C21),'Premissas'!C21,"Horas a informar")</x:f>
        <x:v>Horas a informar</x:v>
      </x:c>
      <x:c r="F12" s="2"/>
    </x:row>
    <x:row r="13" ht="24" customHeight="1">
      <x:c r="A13" s="2"/>
      <x:c r="B13" s="2" t="str">
        <x:v>Horas totais do Arizona</x:v>
      </x:c>
      <x:c r="C13" s="39" t="str">
        <x:f>IF(ISNUMBER(C12),C11+C12,"")</x:f>
      </x:c>
      <x:c r="D13" s="39" t="str">
        <x:f>IF(ISNUMBER(D12),D11+D12,"")</x:f>
      </x:c>
      <x:c r="E13" s="39" t="str">
        <x:f>IF(ISNUMBER(E12),E11+E12,"")</x:f>
      </x:c>
      <x:c r="F13" s="2"/>
    </x:row>
    <x:row r="14" ht="24" customHeight="1">
      <x:c r="A14" s="2"/>
      <x:c r="B14" s="2"/>
      <x:c r="C14" s="22"/>
      <x:c r="D14" s="22"/>
      <x:c r="E14" s="22"/>
      <x:c r="F14" s="2"/>
    </x:row>
    <x:row r="15" ht="24" customHeight="1">
      <x:c r="A15" s="2"/>
      <x:c r="B15" s="2" t="str">
        <x:v>DAS proporcional</x:v>
      </x:c>
      <x:c r="C15" s="22" t="n">
        <x:f>C10*$C$7</x:f>
        <x:v>96.96</x:v>
      </x:c>
      <x:c r="D15" s="22" t="n">
        <x:f>D10*$C$7</x:f>
        <x:v>161.6</x:v>
      </x:c>
      <x:c r="E15" s="22" t="n">
        <x:f>E10*$C$7</x:f>
        <x:v>161.6</x:v>
      </x:c>
      <x:c r="F15" s="2"/>
    </x:row>
    <x:row r="16" ht="24" customHeight="1">
      <x:c r="A16" s="2"/>
      <x:c r="B16" s="2" t="str">
        <x:v>Supabase direto</x:v>
      </x:c>
      <x:c r="C16" s="24" t="n">
        <x:f>'Premissas'!C12</x:f>
        <x:v>200</x:v>
      </x:c>
      <x:c r="D16" s="24" t="n">
        <x:f>'Premissas'!C12</x:f>
        <x:v>200</x:v>
      </x:c>
      <x:c r="E16" s="24" t="n">
        <x:f>'Premissas'!C12</x:f>
        <x:v>200</x:v>
      </x:c>
      <x:c r="F16" s="2"/>
    </x:row>
    <x:row r="17" ht="24" customHeight="1">
      <x:c r="A17" s="2"/>
      <x:c r="B17" s="2" t="str">
        <x:v>IA atribuída ao Arizona</x:v>
      </x:c>
      <x:c r="C17" s="24" t="n">
        <x:f>'Premissas'!C13*'Premissas'!C14</x:f>
        <x:v>275</x:v>
      </x:c>
      <x:c r="D17" s="24" t="n">
        <x:f>'Premissas'!C13*'Premissas'!C14</x:f>
        <x:v>275</x:v>
      </x:c>
      <x:c r="E17" s="24" t="n">
        <x:f>'Premissas'!C13*'Premissas'!C14</x:f>
        <x:v>275</x:v>
      </x:c>
      <x:c r="F17" s="2"/>
    </x:row>
    <x:row r="18" ht="24" customHeight="1">
      <x:c r="A18" s="2"/>
      <x:c r="B18" s="2" t="str">
        <x:v>Contabilidade rateada pela receita</x:v>
      </x:c>
      <x:c r="C18" s="24" t="n">
        <x:f>'Premissas'!C11*C10/$C$6</x:f>
        <x:v>9.6</x:v>
      </x:c>
      <x:c r="D18" s="24" t="n">
        <x:f>'Premissas'!C11*D10/$C$6</x:f>
        <x:v>16</x:v>
      </x:c>
      <x:c r="E18" s="24" t="n">
        <x:f>'Premissas'!C11*E10/$C$6</x:f>
        <x:v>16</x:v>
      </x:c>
      <x:c r="F18" s="2"/>
    </x:row>
    <x:row r="19" ht="24" customHeight="1">
      <x:c r="A19" s="2"/>
      <x:c r="B19" s="2" t="str">
        <x:v>Outros custos comuns rateados</x:v>
      </x:c>
      <x:c r="C19" s="24" t="n">
        <x:f>'Premissas'!C37*C10/$C$6</x:f>
        <x:v>0</x:v>
      </x:c>
      <x:c r="D19" s="24" t="n">
        <x:f>'Premissas'!C37*D10/$C$6</x:f>
        <x:v>0</x:v>
      </x:c>
      <x:c r="E19" s="24" t="n">
        <x:f>'Premissas'!C37*E10/$C$6</x:f>
        <x:v>0</x:v>
      </x:c>
      <x:c r="F19" s="2"/>
    </x:row>
    <x:row r="20" ht="24" customHeight="1">
      <x:c r="A20" s="2"/>
      <x:c r="B20" s="33" t="str">
        <x:v>Subtotal de despesas informadas</x:v>
      </x:c>
      <x:c r="C20" s="34" t="n">
        <x:f>SUM(C15:C19)</x:f>
        <x:v>581.5600000000001</x:v>
      </x:c>
      <x:c r="D20" s="34" t="n">
        <x:f>SUM(D15:D19)</x:f>
        <x:v>652.6</x:v>
      </x:c>
      <x:c r="E20" s="34" t="n">
        <x:f>SUM(E15:E19)</x:f>
        <x:v>652.6</x:v>
      </x:c>
      <x:c r="F20" s="2"/>
    </x:row>
    <x:row r="21" ht="24" customHeight="1">
      <x:c r="A21" s="2"/>
      <x:c r="B21" s="2"/>
      <x:c r="C21" s="22"/>
      <x:c r="D21" s="22"/>
      <x:c r="E21" s="22"/>
      <x:c r="F21" s="2"/>
    </x:row>
    <x:row r="22" ht="24" customHeight="1">
      <x:c r="A22" s="2"/>
      <x:c r="B22" s="33" t="str">
        <x:v>Saldo parcial antes do seu trabalho</x:v>
      </x:c>
      <x:c r="C22" s="34" t="n">
        <x:f>C10-C20</x:f>
        <x:v>618.4399999999999</x:v>
      </x:c>
      <x:c r="D22" s="34" t="n">
        <x:f>D10-D20</x:f>
        <x:v>1347.4</x:v>
      </x:c>
      <x:c r="E22" s="34" t="n">
        <x:f>E10-E20</x:f>
        <x:v>1347.4</x:v>
      </x:c>
      <x:c r="F22" s="2"/>
    </x:row>
    <x:row r="23" ht="24" customHeight="1">
      <x:c r="A23" s="2"/>
      <x:c r="B23" s="2" t="str">
        <x:v>Pró-labore alocado pelo tempo</x:v>
      </x:c>
      <x:c r="C23" s="24" t="str">
        <x:f>IF(AND(ISNUMBER('Premissas'!C20),'Premissas'!C20&gt;0,ISNUMBER(C13)),INDEX('Empresa'!C18:F18,1,$C$5)*C13/'Premissas'!C20,"Horas a informar")</x:f>
        <x:v>Horas a informar</x:v>
      </x:c>
      <x:c r="D23" s="24" t="str">
        <x:f>IF(AND(ISNUMBER('Premissas'!C20),'Premissas'!C20&gt;0,ISNUMBER(D13)),INDEX('Empresa'!C18:F18,1,$C$5)*D13/'Premissas'!C20,"Horas a informar")</x:f>
        <x:v>Horas a informar</x:v>
      </x:c>
      <x:c r="E23" s="24" t="str">
        <x:f>IF(AND(ISNUMBER('Premissas'!C20),'Premissas'!C20&gt;0,ISNUMBER(E13)),INDEX('Empresa'!C18:F18,1,$C$5)*E13/'Premissas'!C20,"Horas a informar")</x:f>
        <x:v>Horas a informar</x:v>
      </x:c>
      <x:c r="F23" s="2"/>
    </x:row>
    <x:row r="24" ht="24" customHeight="1">
      <x:c r="A24" s="2"/>
      <x:c r="B24" s="33" t="str">
        <x:v>Resultado parcial após pró-labore</x:v>
      </x:c>
      <x:c r="C24" s="34" t="str">
        <x:f>IF(ISNUMBER(C23),C22-C23,"")</x:f>
      </x:c>
      <x:c r="D24" s="34" t="str">
        <x:f>IF(ISNUMBER(D23),D22-D23,"")</x:f>
      </x:c>
      <x:c r="E24" s="34" t="str">
        <x:f>IF(ISNUMBER(E23),E22-E23,"")</x:f>
      </x:c>
      <x:c r="F24" s="2"/>
    </x:row>
    <x:row r="25" ht="24" customHeight="1">
      <x:c r="A25" s="2"/>
      <x:c r="B25" s="33" t="str">
        <x:v>Resultado completo</x:v>
      </x:c>
      <x:c r="C25" s="37" t="str">
        <x:f>IF(AND('Premissas'!C38=0,ISNUMBER(C24)),C24,"Dados a preencher")</x:f>
        <x:v>Dados a preencher</x:v>
      </x:c>
      <x:c r="D25" s="37" t="str">
        <x:f>IF(AND('Premissas'!C38=0,ISNUMBER(D24)),D24,"Dados a preencher")</x:f>
        <x:v>Dados a preencher</x:v>
      </x:c>
      <x:c r="E25" s="37" t="str">
        <x:f>IF(AND('Premissas'!C38=0,ISNUMBER(E24)),E24,"Dados a preencher")</x:f>
        <x:v>Dados a preencher</x:v>
      </x:c>
      <x:c r="F25" s="2"/>
    </x:row>
    <x:row r="26" ht="24" customHeight="1">
      <x:c r="A26" s="2"/>
      <x:c r="B26" s="2"/>
      <x:c r="C26" s="22"/>
      <x:c r="D26" s="22"/>
      <x:c r="E26" s="22"/>
      <x:c r="F26" s="2"/>
    </x:row>
    <x:row r="27" ht="24" customHeight="1">
      <x:c r="A27" s="2"/>
      <x:c r="B27" s="2" t="str">
        <x:v>Receita adicional do pacote</x:v>
      </x:c>
      <x:c r="C27" s="24" t="n">
        <x:f>C10-'Premissas'!C15</x:f>
        <x:v>0</x:v>
      </x:c>
      <x:c r="D27" s="24" t="n">
        <x:f>D10-'Premissas'!C15</x:f>
        <x:v>800</x:v>
      </x:c>
      <x:c r="E27" s="24" t="n">
        <x:f>E10-'Premissas'!C15</x:f>
        <x:v>800</x:v>
      </x:c>
      <x:c r="F27" s="2"/>
    </x:row>
    <x:row r="28" ht="24" customHeight="1">
      <x:c r="A28" s="2"/>
      <x:c r="B28" s="33" t="str">
        <x:v>Adicional após DAS (custos fixos iguais)</x:v>
      </x:c>
      <x:c r="C28" s="34" t="n">
        <x:f>C27*(1-$C$7)</x:f>
        <x:v>0</x:v>
      </x:c>
      <x:c r="D28" s="34" t="n">
        <x:f>D27*(1-$C$7)</x:f>
        <x:v>735.36</x:v>
      </x:c>
      <x:c r="E28" s="34" t="n">
        <x:f>E27*(1-$C$7)</x:f>
        <x:v>735.36</x:v>
      </x:c>
      <x:c r="F28" s="2"/>
    </x:row>
    <x:row r="29" ht="24" customHeight="1">
      <x:c r="A29" s="2"/>
      <x:c r="B29" s="33" t="str">
        <x:v>Adicional após DAS / hora contratada</x:v>
      </x:c>
      <x:c r="C29" s="34" t="str">
        <x:f>IF(C11&gt;0,C28/C11,"")</x:f>
      </x:c>
      <x:c r="D29" s="34" t="n">
        <x:f>IF(D11&gt;0,D28/D11,"")</x:f>
        <x:v>91.92</x:v>
      </x:c>
      <x:c r="E29" s="34" t="n">
        <x:f>IF(E11&gt;0,E28/E11,"")</x:f>
        <x:v>21.212307692307693</x:v>
      </x:c>
      <x:c r="F29" s="2"/>
    </x:row>
    <x:row r="30" ht="24" customHeight="1">
      <x:c r="A30" s="2"/>
      <x:c r="B30" s="2" t="str">
        <x:v>Remuneração de referência / hora</x:v>
      </x:c>
      <x:c r="C30" s="24" t="n">
        <x:f>'Premissas'!C19</x:f>
        <x:v>120</x:v>
      </x:c>
      <x:c r="D30" s="24" t="n">
        <x:f>'Premissas'!C19</x:f>
        <x:v>120</x:v>
      </x:c>
      <x:c r="E30" s="24" t="n">
        <x:f>'Premissas'!C19</x:f>
        <x:v>120</x:v>
      </x:c>
      <x:c r="F30" s="2"/>
    </x:row>
    <x:row r="31" ht="24" customHeight="1">
      <x:c r="A31" s="2"/>
      <x:c r="B31" s="2" t="str">
        <x:v>Horas extras x referência comercial</x:v>
      </x:c>
      <x:c r="C31" s="22" t="n">
        <x:f>C11*C30</x:f>
        <x:v>0</x:v>
      </x:c>
      <x:c r="D31" s="22" t="n">
        <x:f>D11*D30</x:f>
        <x:v>960</x:v>
      </x:c>
      <x:c r="E31" s="22" t="n">
        <x:f>E11*E30</x:f>
        <x:v>4160</x:v>
      </x:c>
      <x:c r="F31" s="2"/>
    </x:row>
    <x:row r="32" ht="24" customHeight="1">
      <x:c r="A32" s="2"/>
      <x:c r="B32" s="33" t="str">
        <x:v>Adicional após DAS menos referência</x:v>
      </x:c>
      <x:c r="C32" s="34" t="n">
        <x:f>C28-C31</x:f>
        <x:v>0</x:v>
      </x:c>
      <x:c r="D32" s="34" t="n">
        <x:f>D28-D31</x:f>
        <x:v>-224.64</x:v>
      </x:c>
      <x:c r="E32" s="34" t="n">
        <x:f>E28-E31</x:f>
        <x:v>-3424.64</x:v>
      </x:c>
      <x:c r="F32" s="2"/>
    </x:row>
    <x:row r="33" ht="24" customHeight="1">
      <x:c r="A33" s="2"/>
      <x:c r="B33" s="2"/>
      <x:c r="C33" s="2"/>
      <x:c r="D33" s="2"/>
      <x:c r="E33" s="2"/>
      <x:c r="F33" s="2"/>
    </x:row>
    <x:row r="34" ht="24" customHeight="1">
      <x:c r="A34" s="2"/>
      <x:c r="B34" s="2"/>
      <x:c r="C34" s="2"/>
      <x:c r="D34" s="2"/>
      <x:c r="E34" s="2"/>
      <x:c r="F34" s="2"/>
    </x:row>
    <x:row r="35" ht="26" customHeight="1">
      <x:c r="A35" s="2"/>
      <x:c r="B35" s="21" t="str">
        <x:v>A comparação incremental mantém IA e infraestrutura constantes; uso maior pode elevar esses custos.</x:v>
      </x:c>
      <x:c r="C35" s="2"/>
      <x:c r="D35" s="2"/>
      <x:c r="E35" s="2"/>
      <x:c r="F35" s="2"/>
    </x:row>
    <x:row r="36" ht="26" customHeight="1">
      <x:c r="A36" s="2"/>
      <x:c r="B36" s="21" t="str">
        <x:v>Saldo parcial não é lucro: falta remunerar seu trabalho e preencher custos ainda desconhecidos.</x:v>
      </x:c>
      <x:c r="C36" s="2"/>
      <x:c r="D36" s="2"/>
      <x:c r="E36" s="2"/>
      <x:c r="F36" s="2"/>
    </x:row>
    <x:row r="37" ht="26" customHeight="1">
      <x:c r="A37" s="2"/>
      <x:c r="B37" s="21" t="str">
        <x:v>Para ratear pró-labore, preencha horas totais da empresa e manutenção coberta na aba Premissas.</x:v>
      </x:c>
      <x:c r="C37" s="2"/>
      <x:c r="D37" s="2"/>
      <x:c r="E37" s="2"/>
      <x:c r="F37" s="2"/>
    </x:row>
    <x:row r="38" ht="26" customHeight="1">
      <x:c r="A38" s="2"/>
      <x:c r="B38" s="21" t="str">
        <x:v>A referência de R$ 120/h é comercial, não um custo real comprovado.</x:v>
      </x:c>
      <x:c r="C38" s="2"/>
      <x:c r="D38" s="2"/>
      <x:c r="E38" s="2"/>
      <x:c r="F38" s="2"/>
    </x:row>
    <x:row r="39" ht="26" customHeight="1">
      <x:c r="A39" s="2"/>
      <x:c r="B39" s="21" t="str">
        <x:v>A linha 32 é comparação alternativa de remuneração; não somá-la ao pró-labore da linha 23.</x:v>
      </x:c>
      <x:c r="C39" s="2"/>
      <x:c r="D39" s="2"/>
      <x:c r="E39" s="2"/>
      <x:c r="F39" s="2"/>
    </x:row>
    <x:row r="40" ht="26" customHeight="1">
      <x:c r="A40" s="2"/>
      <x:c r="B40" s="21" t="str">
        <x:v>8 horas semanais representam 34,67 horas/mês na média de 52 semanas por ano.</x:v>
      </x:c>
      <x:c r="C40" s="2"/>
      <x:c r="D40" s="2"/>
      <x:c r="E40" s="2"/>
      <x:c r="F40" s="2"/>
    </x:row>
    <x:row r="41" ht="26" customHeight="1">
      <x:c r="A41" s="2"/>
      <x:c r="B41" s="21" t="str">
        <x:v>A contratação de horas não inclui SLA de resposta, exclusividade ou cessão de direitos.</x:v>
      </x:c>
      <x:c r="C41" s="2"/>
      <x:c r="D41" s="2"/>
      <x:c r="E41" s="2"/>
      <x:c r="F41" s="2"/>
    </x:row>
    <x:row r="42" ht="26" customHeight="1">
      <x:c r="A42" s="2"/>
      <x:c r="B42" s="21" t="str">
        <x:v>Salário, lucro contábil, reserva de caixa e distribuição pessoal são conceitos separados.</x:v>
      </x:c>
      <x:c r="C42" s="2"/>
      <x:c r="D42" s="2"/>
      <x:c r="E42" s="2"/>
      <x:c r="F42" s="2"/>
    </x:row>
    <x:row r="43" ht="24" customHeight="1">
      <x:c r="A43" s="2"/>
      <x:c r="B43" s="2"/>
      <x:c r="C43" s="2"/>
      <x:c r="D43" s="2"/>
      <x:c r="E43" s="2"/>
      <x:c r="F43" s="2"/>
    </x:row>
    <x:row r="44" ht="24" customHeight="1">
      <x:c r="A44" s="2"/>
      <x:c r="B44" s="2"/>
      <x:c r="C44" s="2"/>
      <x:c r="D44" s="2"/>
      <x:c r="E44" s="2"/>
      <x:c r="F44" s="2"/>
    </x:row>
    <x:row r="45" ht="24" customHeight="1">
      <x:c r="A45" s="2"/>
      <x:c r="B45" s="2"/>
      <x:c r="C45" s="2"/>
      <x:c r="D45" s="2"/>
      <x:c r="E45" s="2"/>
      <x:c r="F45" s="2"/>
    </x:row>
    <x:row r="46" ht="24" customHeight="1">
      <x:c r="A46" s="2"/>
      <x:c r="B46" s="2"/>
      <x:c r="C46" s="2"/>
      <x:c r="D46" s="2"/>
      <x:c r="E46" s="2"/>
      <x:c r="F46" s="2"/>
    </x:row>
    <x:row r="47" ht="24" customHeight="1">
      <x:c r="A47" s="2"/>
      <x:c r="B47" s="2"/>
      <x:c r="C47" s="2"/>
      <x:c r="D47" s="2"/>
      <x:c r="E47" s="2"/>
      <x:c r="F47" s="2"/>
    </x:row>
    <x:row r="48" ht="24" customHeight="1">
      <x:c r="A48" s="2"/>
      <x:c r="B48" s="2"/>
      <x:c r="C48" s="2"/>
      <x:c r="D48" s="2"/>
      <x:c r="E48" s="2"/>
      <x:c r="F48" s="2"/>
    </x:row>
  </x:sheetData>
  <x:conditionalFormatting sqref="C24:E24">
    <x:cfRule type="cellIs" dxfId="0" priority="1" operator="lessThan">
      <x:formula>0</x:formula>
    </x:cfRule>
  </x:conditionalFormatting>
  <x:dataValidations count="1">
    <x:dataValidation type="list" sqref="C5">
      <x:formula1>"1,2,3,4"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0" hidden="0" customWidth="1"/>
    <x:col min="3" max="3" width="72" hidden="0" customWidth="1"/>
    <x:col min="4" max="4" width="85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2"/>
      <x:c r="B2" s="4" t="str">
        <x:v>Fontes e limites da simulação</x:v>
      </x:c>
      <x:c r="C2" s="5"/>
      <x:c r="D2" s="5"/>
      <x:c r="E2" s="5"/>
    </x:row>
    <x:row r="3" ht="24" customHeight="1">
      <x:c r="A3" s="2"/>
      <x:c r="B3" s="6" t="str">
        <x:v>Simulação mensal · regras de 2026 como referência para planejar 2027</x:v>
      </x:c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8" customHeight="1">
      <x:c r="A5" s="2"/>
      <x:c r="B5" s="9" t="str">
        <x:v>Tema</x:v>
      </x:c>
      <x:c r="C5" s="9" t="str">
        <x:v>Referência</x:v>
      </x:c>
      <x:c r="D5" s="9" t="str">
        <x:v>URL / proveniência</x:v>
      </x:c>
      <x:c r="E5" s="2"/>
    </x:row>
    <x:row r="6" ht="64" customHeight="1">
      <x:c r="A6" s="2"/>
      <x:c r="B6" s="13" t="str">
        <x:v>Dados do usuário</x:v>
      </x:c>
      <x:c r="C6" s="13" t="str">
        <x:v>Sócio único; RBT12 R$ 150–180 mil; pró-labore R$ 4.200; contador R$ 200; futuro R$ 20–25 mil no mesmo CNPJ.</x:v>
      </x:c>
      <x:c r="D6" s="13" t="str">
        <x:v>Conversa de 05/09/2026. Supabase R$ 200 é estimativa; IA US$ 200 é compartilhada.</x:v>
      </x:c>
      <x:c r="E6" s="2"/>
    </x:row>
    <x:row r="7" ht="64" customHeight="1">
      <x:c r="A7" s="2"/>
      <x:c r="B7" s="13" t="str">
        <x:v>Hipóteses editáveis</x:v>
      </x:c>
      <x:c r="C7" s="13" t="str">
        <x:v>Fatura IA R$ 1.100; rateio Arizona 25%; pró-labore futuro 30%; cenários estáveis.</x:v>
      </x:c>
      <x:c r="D7" s="13" t="str">
        <x:v>Hipóteses de simulação. Não são custos ou enquadramentos confirmados.</x:v>
      </x:c>
      <x:c r="E7" s="2"/>
    </x:row>
    <x:row r="8" ht="64" customHeight="1">
      <x:c r="A8" s="2"/>
      <x:c r="B8" s="13" t="str">
        <x:v>Simples Nacional</x:v>
      </x:c>
      <x:c r="C8" s="13" t="str">
        <x:v>LC 123: alíquota efetiva, anexos III/V, tributos incluídos e distribuição de lucros.</x:v>
      </x:c>
      <x:c r="D8" s="13" t="str">
        <x:v>https://www.planalto.gov.br/ccivil_03/leis/lcp/lcp123.htm</x:v>
      </x:c>
      <x:c r="E8" s="2"/>
    </x:row>
    <x:row r="9" ht="64" customHeight="1">
      <x:c r="A9" s="2"/>
      <x:c r="B9" s="13" t="str">
        <x:v>Fator R</x:v>
      </x:c>
      <x:c r="C9" s="13" t="str">
        <x:v>Resolução CGSN 140: folha e encargos elegíveis, receita e janela dos 12 meses.</x:v>
      </x:c>
      <x:c r="D9" s="13" t="str">
        <x:v>https://normas.receita.fazenda.gov.br/sijut2consulta/link.action?idAto=92278&amp;naoPublicado=&amp;visao=compilado</x:v>
      </x:c>
      <x:c r="E9" s="2"/>
    </x:row>
    <x:row r="10" ht="64" customHeight="1">
      <x:c r="A10" s="2"/>
      <x:c r="B10" s="13" t="str">
        <x:v>Licenciamento de software</x:v>
      </x:c>
      <x:c r="C10" s="13" t="str">
        <x:v>SC Cosit 271/2024: III/V conforme fator R.</x:v>
      </x:c>
      <x:c r="D10" s="13" t="str">
        <x:v>https://normas.receita.fazenda.gov.br/sijut2consulta/anexoOutros.action?idArquivoBinario=75847</x:v>
      </x:c>
      <x:c r="E10" s="2"/>
    </x:row>
    <x:row r="11" ht="64" customHeight="1">
      <x:c r="A11" s="2"/>
      <x:c r="B11" s="13" t="str">
        <x:v>Orientações do Simples</x:v>
      </x:c>
      <x:c r="C11" s="13" t="str">
        <x:v>Segregação das receitas, CPP, fator R e custos que não reduzem receita tributável.</x:v>
      </x:c>
      <x:c r="D11" s="13" t="str">
        <x:v>https://www8.receita.fazenda.gov.br/SimplesNacional/Arquivos/manual/PerguntaoSN.pdf</x:v>
      </x:c>
      <x:c r="E11" s="2"/>
    </x:row>
    <x:row r="12" ht="64" customHeight="1">
      <x:c r="A12" s="2"/>
      <x:c r="B12" s="13" t="str">
        <x:v>IRRF em 2026</x:v>
      </x:c>
      <x:c r="C12" s="13" t="str">
        <x:v>Tabela progressiva, dedução simplificada e redução até R$ 7.350.</x:v>
      </x:c>
      <x:c r="D12" s="13" t="str">
        <x:v>https://www.gov.br/receitafederal/pt-br/assuntos/meu-imposto-de-renda/tabelas/2026</x:v>
      </x:c>
      <x:c r="E12" s="2"/>
    </x:row>
    <x:row r="13" ht="64" customHeight="1">
      <x:c r="A13" s="2"/>
      <x:c r="B13" s="13" t="str">
        <x:v>Teto do INSS em 2026</x:v>
      </x:c>
      <x:c r="C13" s="13" t="str">
        <x:v>R$ 8.475,55; retenção usual de 11% para pró-labore neste cenário.</x:v>
      </x:c>
      <x:c r="D13" s="13" t="str">
        <x:v>https://www.gov.br/inss/pt-br/direitos-e-deveres/inscricao-e-contribuicao/tabela-de-contribuicao-mensal</x:v>
      </x:c>
      <x:c r="E13" s="2"/>
    </x:row>
    <x:row r="14" ht="64" customHeight="1">
      <x:c r="A14" s="2"/>
      <x:c r="B14" s="13" t="str">
        <x:v>Pró-labore</x:v>
      </x:c>
      <x:c r="C14" s="13" t="str">
        <x:v>Retenção do INSS e distinção entre trabalho do sócio e lucro.</x:v>
      </x:c>
      <x:c r="D14" s="13" t="str">
        <x:v>https://www.caixa.gov.br/educacao-financeira/empresa/pro-labore/Paginas/default.aspx</x:v>
      </x:c>
      <x:c r="E14" s="2"/>
    </x:row>
    <x:row r="15" ht="64" customHeight="1">
      <x:c r="A15" s="2"/>
      <x:c r="B15" s="13" t="str">
        <x:v>Escolha para 2027</x:v>
      </x:c>
      <x:c r="C15" s="13" t="str">
        <x:v>Avaliar CBS/IBS dentro ou fora do DAS até 30/09/2026. Já optantes não precisam renovar a opção pelo Simples.</x:v>
      </x:c>
      <x:c r="D15" s="13" t="str">
        <x:v>https://www.gov.br/receitafederal/pt-br/assuntos/noticias/2026/setembro/receita-federal-alerta-comeca-hoje-o-prazo-para-opcao-pelo-simples-nacional-e-para-a-escolha-do-modelo-de-recolhimento-do-ibs-e-da-cbs-em-2027</x:v>
      </x:c>
      <x:c r="E15" s="2"/>
    </x:row>
    <x:row r="16" ht="64" customHeight="1">
      <x:c r="A16" s="2"/>
      <x:c r="B16" s="13" t="str">
        <x:v>Lucros e altas rendas</x:v>
      </x:c>
      <x:c r="C16" s="13" t="str">
        <x:v>Lei 15.270/2025: regras adicionais de lucros e rendas pessoais. Não confundir receita PJ com renda PF.</x:v>
      </x:c>
      <x:c r="D16" s="13" t="str">
        <x:v>https://www.planalto.gov.br/ccivil_03/_ato2023-2026/2025/lei/l15270.htm</x:v>
      </x:c>
      <x:c r="E16" s="2"/>
    </x:row>
    <x:row r="17" ht="24" customHeight="1">
      <x:c r="A17" s="2"/>
      <x:c r="B17" s="2"/>
      <x:c r="C17" s="2"/>
      <x:c r="D17" s="2"/>
      <x:c r="E17" s="2"/>
    </x:row>
    <x:row r="18" ht="24" customHeight="1">
      <x:c r="A18" s="2"/>
      <x:c r="B18" s="2"/>
      <x:c r="C18" s="2"/>
      <x:c r="D18" s="2"/>
      <x:c r="E18" s="2"/>
    </x:row>
    <x:row r="19" ht="26" customHeight="1">
      <x:c r="A19" s="2"/>
      <x:c r="B19" s="21" t="str">
        <x:v>Consulta das fontes: 05/09/2026. Não substitui a apuração mensal do contador.</x:v>
      </x:c>
      <x:c r="C19" s="2"/>
      <x:c r="D19" s="2"/>
      <x:c r="E19" s="2"/>
    </x:row>
    <x:row r="20" ht="26" customHeight="1">
      <x:c r="A20" s="2"/>
      <x:c r="B20" s="21" t="str">
        <x:v>Modelo não calcula a transição de fator R mês a mês; depende do histórico de receitas e folha pagos.</x:v>
      </x:c>
      <x:c r="C20" s="2"/>
      <x:c r="D20" s="2"/>
      <x:c r="E20" s="2"/>
    </x:row>
    <x:row r="21" ht="26" customHeight="1">
      <x:c r="A21" s="2"/>
      <x:c r="B21" s="21" t="str">
        <x:v>Modelo não apura tributos de contratação internacional nem o regime regular de IBS/CBS.</x:v>
      </x:c>
      <x:c r="C21" s="2"/>
      <x:c r="D21" s="2"/>
      <x:c r="E21" s="2"/>
    </x:row>
    <x:row r="22" ht="26" customHeight="1">
      <x:c r="A22" s="2"/>
      <x:c r="B22" s="21" t="str">
        <x:v>Movimento de equipamentos, empréstimos, recebíveis e dívidas exige conciliação separada de caixa.</x:v>
      </x:c>
      <x:c r="C22" s="2"/>
      <x:c r="D22" s="2"/>
      <x:c r="E22" s="2"/>
    </x:row>
    <x:row r="23" ht="26" customHeight="1">
      <x:c r="A23" s="2"/>
      <x:c r="B23" s="21" t="str">
        <x:v>Lucro distribuível depende de escrituração e obrigações existentes; saldo bancário não comprova lucro.</x:v>
      </x:c>
      <x:c r="C23" s="2"/>
      <x:c r="D23" s="2"/>
      <x:c r="E23" s="2"/>
    </x:row>
    <x:row r="24" ht="26" customHeight="1">
      <x:c r="A24" s="2"/>
      <x:c r="B24" s="21" t="str">
        <x:v>Distribuição superior a R$ 50 mil no mês pela mesma PJ à mesma PF pode gerar IRRF de 10% sobre o total.</x:v>
      </x:c>
      <x:c r="C24" s="2"/>
      <x:c r="D24" s="2"/>
      <x:c r="E24" s="2"/>
    </x:row>
    <x:row r="25" ht="26" customHeight="1">
      <x:c r="A25" s="2"/>
      <x:c r="B25" s="21" t="str">
        <x:v>Regras de tributação mínima consideram renda pessoal anual acima de R$ 600 mil e suas exclusões.</x:v>
      </x:c>
      <x:c r="C25" s="2"/>
      <x:c r="D25" s="2"/>
      <x:c r="E25" s="2"/>
    </x:row>
    <x:row r="26" ht="26" customHeight="1">
      <x:c r="A26" s="2"/>
      <x:c r="B26" s="21" t="str">
        <x:v>A tabela de INSS de 2027 e eventual mudança de normas devem ser atualizadas antes de usar na apuração.</x:v>
      </x:c>
      <x:c r="C26" s="2"/>
      <x:c r="D26" s="2"/>
      <x:c r="E26" s="2"/>
    </x:row>
    <x:row r="27" ht="24" customHeight="1">
      <x:c r="A27" s="2"/>
      <x:c r="B27" s="2"/>
      <x:c r="C27" s="2"/>
      <x:c r="D27" s="2"/>
      <x:c r="E27" s="2"/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  <x:row r="35" ht="24" customHeight="1">
      <x:c r="A35" s="2"/>
      <x:c r="B35" s="2"/>
      <x:c r="C35" s="2"/>
      <x:c r="D35" s="2"/>
      <x:c r="E35" s="2"/>
    </x:row>
    <x:row r="36" ht="24" customHeight="1">
      <x:c r="A36" s="2"/>
      <x:c r="B36" s="2"/>
      <x:c r="C36" s="2"/>
      <x:c r="D36" s="2"/>
      <x:c r="E36" s="2"/>
    </x:row>
  </x:sheetData>
  <x:pageMargins left="0.7" right="0.7" top="0.75" bottom="0.75" header="0.3" footer="0.3"/>
</x:worksheet>
</file>