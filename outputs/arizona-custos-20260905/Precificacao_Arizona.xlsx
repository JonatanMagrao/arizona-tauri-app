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3b7023937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s" sheetId="1" r:id="Rc9b24249c07146fb"/>
    <x:sheet xmlns:r="http://schemas.openxmlformats.org/officeDocument/2006/relationships" name="Planos" sheetId="2" r:id="Ree9911d1f1394801"/>
    <x:sheet xmlns:r="http://schemas.openxmlformats.org/officeDocument/2006/relationships" name="Venda" sheetId="3" r:id="R0a290fb080a04e60"/>
    <x:sheet xmlns:r="http://schemas.openxmlformats.org/officeDocument/2006/relationships" name="Fontes" sheetId="4" r:id="R945846e148da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R$ &quot;#,##0.00;(&quot;R$ &quot;#,##0.00);&quot;—&quot;"/>
    <x:numFmt numFmtId="201" formatCode="0.0%;(0.0%);&quot;—&quot;"/>
    <x:numFmt numFmtId="202" formatCode="0.0000"/>
    <x:numFmt numFmtId="203" formatCode="0"/>
    <x:numFmt numFmtId="204" formatCode="0.0"/>
    <x:numFmt numFmtId="205" formatCode="0.00"/>
  </x:numFmts>
  <x:fonts count="11">
    <x:font>
      <x:sz val="11"/>
      <x:name val="Carlito"/>
    </x:font>
    <x:font>
      <x:sz val="11"/>
      <x:color rgb="FF111827"/>
      <x:name val="Helvetica Neue"/>
    </x:font>
    <x:font>
      <x:b/>
      <x:sz val="16"/>
      <x:color rgb="FF111827"/>
      <x:name val="Helvetica Neue"/>
    </x:font>
    <x:font>
      <x:i/>
      <x:sz val="10"/>
      <x:color rgb="FF475569"/>
      <x:name val="Helvetica Neue"/>
    </x:font>
    <x:font>
      <x:b/>
      <x:sz val="11"/>
      <x:color rgb="FFFFFFFF"/>
      <x:name val="Helvetica Neue"/>
    </x:font>
    <x:font>
      <x:sz val="11"/>
      <x:color rgb="FF0000FF"/>
      <x:name val="Helvetica Neue"/>
    </x:font>
    <x:font>
      <x:b/>
      <x:sz val="11"/>
      <x:color rgb="FF111827"/>
      <x:name val="Helvetica Neue"/>
    </x:font>
    <x:font>
      <x:sz val="10"/>
      <x:color rgb="FF475569"/>
      <x:name val="Helvetica Neue"/>
    </x:font>
    <x:font>
      <x:sz val="11"/>
      <x:color rgb="FF008000"/>
      <x:name val="Helvetica Neue"/>
    </x:font>
    <x:font>
      <x:b/>
      <x:sz val="11"/>
      <x:color rgb="FF0000FF"/>
      <x:name val="Helvetica Neue"/>
    </x:font>
    <x:font>
      <x:b/>
      <x:sz val="11"/>
      <x:color rgb="FF008000"/>
      <x:name val="Helvetica Neue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1CC"/>
      </x:patternFill>
    </x:fill>
    <x:fill>
      <x:patternFill patternType="solid">
        <x:fgColor rgb="FFE8EEF4"/>
      </x:patternFill>
    </x:fill>
  </x:fills>
  <x:borders count="2">
    <x:border/>
    <x:border>
      <x:bottom style="thin">
        <x:color rgb="FF64748B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202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 wrapText="1"/>
    </x:xf>
    <x:xf numFmtId="203" fontId="5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205" fontId="8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5" fontId="8" fillId="4" borderId="0" xfId="0" applyNumberFormat="1" applyFont="1" applyFill="1" applyBorder="1" applyAlignment="1">
      <x:alignment vertical="center" wrapText="1"/>
    </x:xf>
    <x:xf numFmtId="200" fontId="8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0" fontId="9" fillId="4" borderId="0" xfId="0" applyNumberFormat="1" applyFont="1" applyFill="1" applyBorder="1" applyAlignment="1">
      <x:alignment vertical="center" wrapText="1"/>
    </x:xf>
    <x:xf numFmtId="205" fontId="10" fillId="4" borderId="0" xfId="0" applyNumberFormat="1" applyFont="1" applyFill="1" applyBorder="1" applyAlignment="1">
      <x:alignment vertical="center" wrapText="1"/>
    </x:xf>
    <x:xf numFmtId="200" fontId="10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201" fontId="6" fillId="4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1" fontId="9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F1239"/>
      </x:font>
      <x:fill>
        <x:patternFill patternType="solid">
          <x:bgColor rgb="FFFFE4E6"/>
        </x:patternFill>
      </x:fill>
    </x:dxf>
    <x:dxf>
      <x:font>
        <x:color rgb="FF9F1239"/>
      </x:font>
      <x:fill>
        <x:patternFill patternType="solid">
          <x:bgColor rgb="FFFF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21246248b4414" /><Relationship Type="http://schemas.openxmlformats.org/officeDocument/2006/relationships/theme" Target="/xl/theme/theme1.xml" Id="Rcf70615ee6b64213" /><Relationship Type="http://schemas.openxmlformats.org/officeDocument/2006/relationships/sharedStrings" Target="/xl/sharedStrings.xml" Id="R689d1b85afa24247" /><Relationship Type="http://schemas.openxmlformats.org/officeDocument/2006/relationships/worksheet" Target="/xl/worksheets/sheet1.xml" Id="Rc9b24249c07146fb" /><Relationship Type="http://schemas.openxmlformats.org/officeDocument/2006/relationships/worksheet" Target="/xl/worksheets/sheet2.xml" Id="Ree9911d1f1394801" /><Relationship Type="http://schemas.openxmlformats.org/officeDocument/2006/relationships/worksheet" Target="/xl/worksheets/sheet3.xml" Id="R0a290fb080a04e60" /><Relationship Type="http://schemas.openxmlformats.org/officeDocument/2006/relationships/worksheet" Target="/xl/worksheets/sheet4.xml" Id="R945846e148da4e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7" hidden="0" customWidth="1"/>
    <x:col min="4" max="4" width="16" hidden="0" customWidth="1"/>
    <x:col min="5" max="5" width="17" hidden="0" customWidth="1"/>
    <x:col min="6" max="6" width="74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26" customHeight="1">
      <x:c r="A2" s="2"/>
      <x:c r="B2" s="4" t="str">
        <x:v>Custos e tempo disponível</x:v>
      </x:c>
      <x:c r="C2" s="5"/>
      <x:c r="D2" s="5"/>
      <x:c r="E2" s="5"/>
      <x:c r="F2" s="5"/>
    </x:row>
    <x:row r="3" ht="26" customHeight="1">
      <x:c r="A3" s="2"/>
      <x:c r="B3" s="6" t="str">
        <x:v>Arizona Crossmedia · proposta de preços em 05/09/2026 · valores em reais</x:v>
      </x:c>
      <x:c r="C3" s="2"/>
      <x:c r="D3" s="2"/>
      <x:c r="E3" s="2"/>
      <x:c r="F3" s="2"/>
    </x:row>
    <x:row r="4" ht="26" customHeight="1">
      <x:c r="A4" s="2"/>
      <x:c r="B4" s="2"/>
      <x:c r="C4" s="2"/>
      <x:c r="D4" s="2"/>
      <x:c r="E4" s="2"/>
      <x:c r="F4" s="2"/>
    </x:row>
    <x:row r="5" ht="48" customHeight="1">
      <x:c r="A5" s="2"/>
      <x:c r="B5" s="9" t="str">
        <x:v>Custo</x:v>
      </x:c>
      <x:c r="C5" s="9" t="str">
        <x:v>Valor de origem</x:v>
      </x:c>
      <x:c r="D5" s="9" t="str">
        <x:v>Parâmetro</x:v>
      </x:c>
      <x:c r="E5" s="9" t="str">
        <x:v>Custo mensal PJ</x:v>
      </x:c>
      <x:c r="F5" s="9" t="str">
        <x:v>Origem / hipótese</x:v>
      </x:c>
    </x:row>
    <x:row r="6" ht="42" customHeight="1">
      <x:c r="A6" s="2"/>
      <x:c r="B6" s="14" t="str">
        <x:v>Internet fibra</x:v>
      </x:c>
      <x:c r="C6" s="15" t="n">
        <x:v>200</x:v>
      </x:c>
      <x:c r="D6" s="16" t="n">
        <x:v>0.5</x:v>
      </x:c>
      <x:c r="E6" s="23" t="n">
        <x:f>C6*D6</x:f>
        <x:v>100</x:v>
      </x:c>
      <x:c r="F6" s="14" t="str">
        <x:v>Informado: R$ 200. Hipótese: 50% empresarial.</x:v>
      </x:c>
    </x:row>
    <x:row r="7" ht="42" customHeight="1">
      <x:c r="A7" s="2"/>
      <x:c r="B7" s="14" t="str">
        <x:v>Internet de contingência</x:v>
      </x:c>
      <x:c r="C7" s="15" t="n">
        <x:v>300</x:v>
      </x:c>
      <x:c r="D7" s="16" t="n">
        <x:v>1</x:v>
      </x:c>
      <x:c r="E7" s="23" t="n">
        <x:f>C7*D7</x:f>
        <x:v>300</x:v>
      </x:c>
      <x:c r="F7" s="14" t="str">
        <x:v>Informado: R$ 300. Interpretado como conexão de backup dedicada ao trabalho.</x:v>
      </x:c>
    </x:row>
    <x:row r="8" ht="42" customHeight="1">
      <x:c r="A8" s="2"/>
      <x:c r="B8" s="14" t="str">
        <x:v>Energia da casa e escritório</x:v>
      </x:c>
      <x:c r="C8" s="15" t="n">
        <x:v>500</x:v>
      </x:c>
      <x:c r="D8" s="16" t="n">
        <x:v>0.5</x:v>
      </x:c>
      <x:c r="E8" s="23" t="n">
        <x:f>C8*D8</x:f>
        <x:v>250</x:v>
      </x:c>
      <x:c r="F8" s="14" t="str">
        <x:v>Informado: R$ 500. Hipótese: 50% empresarial; medir o consumo é melhor.</x:v>
      </x:c>
    </x:row>
    <x:row r="9" ht="42" customHeight="1">
      <x:c r="A9" s="2"/>
      <x:c r="B9" s="14" t="str">
        <x:v>IA paga</x:v>
      </x:c>
      <x:c r="C9" s="15" t="n">
        <x:v>1100</x:v>
      </x:c>
      <x:c r="D9" s="16" t="n">
        <x:v>1</x:v>
      </x:c>
      <x:c r="E9" s="23" t="n">
        <x:f>C9*D9</x:f>
        <x:v>1100</x:v>
      </x:c>
      <x:c r="F9" s="14" t="str">
        <x:v>HIPÓTESE em reais para os US$ 200 informados; substituir pela fatura integral.</x:v>
      </x:c>
    </x:row>
    <x:row r="10" ht="42" customHeight="1">
      <x:c r="A10" s="2"/>
      <x:c r="B10" s="14" t="str">
        <x:v>Contabilidade</x:v>
      </x:c>
      <x:c r="C10" s="15" t="n">
        <x:v>200</x:v>
      </x:c>
      <x:c r="D10" s="16" t="n">
        <x:v>1</x:v>
      </x:c>
      <x:c r="E10" s="23" t="n">
        <x:f>C10*D10</x:f>
        <x:v>200</x:v>
      </x:c>
      <x:c r="F10" s="14" t="str">
        <x:v>Informado pelo usuário.</x:v>
      </x:c>
    </x:row>
    <x:row r="11" ht="42" customHeight="1">
      <x:c r="A11" s="2"/>
      <x:c r="B11" s="14" t="str">
        <x:v>Computador — valor e residual</x:v>
      </x:c>
      <x:c r="C11" s="15" t="n">
        <x:v>25000</x:v>
      </x:c>
      <x:c r="D11" s="16" t="n">
        <x:v>0.1</x:v>
      </x:c>
      <x:c r="E11" s="23" t="n">
        <x:f>C11*(1-D11)/C12</x:f>
        <x:v>625</x:v>
      </x:c>
      <x:c r="F11" s="14" t="str">
        <x:v>Informado: compra por R$ 25 mil. Residual gerencial de 10%, não regra fiscal.</x:v>
      </x:c>
    </x:row>
    <x:row r="12" ht="42" customHeight="1">
      <x:c r="A12" s="2"/>
      <x:c r="B12" s="14" t="str">
        <x:v>Vida útil gerencial do computador — meses</x:v>
      </x:c>
      <x:c r="C12" s="20" t="n">
        <x:v>36</x:v>
      </x:c>
      <x:c r="D12" s="14"/>
      <x:c r="E12" s="23"/>
      <x:c r="F12" s="14" t="str">
        <x:v>Hipótese de reposição em três anos; depreciação não é saída mensal de caixa.</x:v>
      </x:c>
    </x:row>
    <x:row r="13" ht="42" customHeight="1">
      <x:c r="A13" s="2"/>
      <x:c r="B13" s="14" t="str">
        <x:v>Reparos e periféricos</x:v>
      </x:c>
      <x:c r="C13" s="15" t="n">
        <x:v>100</x:v>
      </x:c>
      <x:c r="D13" s="16" t="n">
        <x:v>1</x:v>
      </x:c>
      <x:c r="E13" s="23" t="n">
        <x:f>C13*D13</x:f>
        <x:v>100</x:v>
      </x:c>
      <x:c r="F13" s="14" t="str">
        <x:v>HIPÓTESE mensal; não inclui comprar novamente o computador depreciado.</x:v>
      </x:c>
    </x:row>
    <x:row r="14" ht="42" customHeight="1">
      <x:c r="A14" s="2"/>
      <x:c r="B14" s="14" t="str">
        <x:v>Certificados e honorários extras anuais</x:v>
      </x:c>
      <x:c r="C14" s="15" t="n">
        <x:v>1200</x:v>
      </x:c>
      <x:c r="D14" s="18" t="n">
        <x:v>0.08333333333333333</x:v>
      </x:c>
      <x:c r="E14" s="23" t="n">
        <x:f>C14*D14</x:f>
        <x:v>100</x:v>
      </x:c>
      <x:c r="F14" s="14" t="str">
        <x:v>HIPÓTESE de R$ 1.200/ano, dividida por 12.</x:v>
      </x:c>
    </x:row>
    <x:row r="15" ht="42" customHeight="1">
      <x:c r="A15" s="2"/>
      <x:c r="B15" s="14" t="str">
        <x:v>Outros softwares, backup de dados e segurança</x:v>
      </x:c>
      <x:c r="C15" s="15" t="n">
        <x:v>300</x:v>
      </x:c>
      <x:c r="D15" s="16" t="n">
        <x:v>1</x:v>
      </x:c>
      <x:c r="E15" s="23" t="n">
        <x:f>C15*D15</x:f>
        <x:v>300</x:v>
      </x:c>
      <x:c r="F15" s="14" t="str">
        <x:v>HIPÓTESE mensal; incluir Adobe apenas se o custo for seu, sem duplicar IA.</x:v>
      </x:c>
    </x:row>
    <x:row r="16" ht="26" customHeight="1">
      <x:c r="A16" s="2"/>
      <x:c r="B16" s="22" t="str">
        <x:v>Custos compartilhados da empresa</x:v>
      </x:c>
      <x:c r="C16" s="22"/>
      <x:c r="D16" s="22"/>
      <x:c r="E16" s="24" t="n">
        <x:f>SUM(E6:E11,E13:E15)</x:f>
        <x:v>3075</x:v>
      </x:c>
      <x:c r="F16" s="22"/>
    </x:row>
    <x:row r="17" ht="26" customHeight="1">
      <x:c r="A17" s="2"/>
      <x:c r="B17" s="2" t="str">
        <x:v>Supabase exclusivo do Arizona</x:v>
      </x:c>
      <x:c r="C17" s="12" t="n">
        <x:v>200</x:v>
      </x:c>
      <x:c r="D17" s="2"/>
      <x:c r="E17" s="25" t="n">
        <x:f>C17</x:f>
        <x:v>200</x:v>
      </x:c>
      <x:c r="F17" s="2" t="str">
        <x:v>Estimativa anterior do usuário; infraestrutura direta do produto.</x:v>
      </x:c>
    </x:row>
    <x:row r="18" ht="26" customHeight="1">
      <x:c r="A18" s="2"/>
      <x:c r="B18" s="22" t="str">
        <x:v>Total mensal antes de trabalho e tributos</x:v>
      </x:c>
      <x:c r="C18" s="22"/>
      <x:c r="D18" s="22"/>
      <x:c r="E18" s="24" t="n">
        <x:f>E16+E17</x:f>
        <x:v>3275</x:v>
      </x:c>
      <x:c r="F18" s="22"/>
    </x:row>
    <x:row r="19" ht="26" customHeight="1">
      <x:c r="A19" s="2"/>
      <x:c r="B19" s="2"/>
      <x:c r="C19" s="2"/>
      <x:c r="D19" s="2"/>
      <x:c r="E19" s="2"/>
      <x:c r="F19" s="2"/>
    </x:row>
    <x:row r="20" ht="26" customHeight="1">
      <x:c r="A20" s="2"/>
      <x:c r="B20" s="2"/>
      <x:c r="C20" s="2"/>
      <x:c r="D20" s="2"/>
      <x:c r="E20" s="2"/>
      <x:c r="F20" s="2"/>
    </x:row>
    <x:row r="21" ht="48" customHeight="1">
      <x:c r="A21" s="2"/>
      <x:c r="B21" s="9" t="str">
        <x:v>Premissa de precificação</x:v>
      </x:c>
      <x:c r="C21" s="9" t="str">
        <x:v>Valor</x:v>
      </x:c>
      <x:c r="D21" s="9" t="str"/>
      <x:c r="E21" s="9" t="str"/>
      <x:c r="F21" s="9" t="str">
        <x:v>Interpretação</x:v>
      </x:c>
    </x:row>
    <x:row r="22" ht="42" customHeight="1">
      <x:c r="A22" s="2"/>
      <x:c r="B22" s="14" t="str">
        <x:v>Reserva para DAS recorrente</x:v>
      </x:c>
      <x:c r="C22" s="16" t="n">
        <x:v>0.1</x:v>
      </x:c>
      <x:c r="D22" s="14"/>
      <x:c r="E22" s="14"/>
      <x:c r="F22" s="14" t="str">
        <x:v>Hipótese de preço, não alíquota apurada. Referência anterior: 8,08% no III a RBT12 de R$ 300 mil.</x:v>
      </x:c>
    </x:row>
    <x:row r="23" ht="42" customHeight="1">
      <x:c r="A23" s="2"/>
      <x:c r="B23" s="14" t="str">
        <x:v>DAS para cenário de estresse</x:v>
      </x:c>
      <x:c r="C23" s="16" t="n">
        <x:v>0.165</x:v>
      </x:c>
      <x:c r="D23" s="14"/>
      <x:c r="E23" s="14"/>
      <x:c r="F23" s="14" t="str">
        <x:v>Referência V com RBT12 R$ 300 mil; não pressupõe enquadramento de toda a empresa.</x:v>
      </x:c>
    </x:row>
    <x:row r="24" ht="42" customHeight="1">
      <x:c r="A24" s="2"/>
      <x:c r="B24" s="14" t="str">
        <x:v>Reserva gerencial de risco</x:v>
      </x:c>
      <x:c r="C24" s="16" t="n">
        <x:v>0.05</x:v>
      </x:c>
      <x:c r="D24" s="14"/>
      <x:c r="E24" s="14"/>
      <x:c r="F24" s="14" t="str">
        <x:v>Contingência, inadimplência e incidentes. Não é imposto nem despesa contábil automática.</x:v>
      </x:c>
    </x:row>
    <x:row r="25" ht="42" customHeight="1">
      <x:c r="A25" s="2"/>
      <x:c r="B25" s="14" t="str">
        <x:v>Parcela da IA atribuída ao Arizona</x:v>
      </x:c>
      <x:c r="C25" s="16" t="n">
        <x:v>0.25</x:v>
      </x:c>
      <x:c r="D25" s="14"/>
      <x:c r="E25" s="14"/>
      <x:c r="F25" s="14" t="str">
        <x:v>HIPÓTESE de uso compartilhado; o restante fica nos outros projetos.</x:v>
      </x:c>
    </x:row>
    <x:row r="26" ht="42" customHeight="1">
      <x:c r="A26" s="2"/>
      <x:c r="B26" s="14" t="str">
        <x:v>Parcela dos demais custos atribuída ao Arizona</x:v>
      </x:c>
      <x:c r="C26" s="16" t="n">
        <x:v>0.1</x:v>
      </x:c>
      <x:c r="D26" s="14"/>
      <x:c r="E26" s="14"/>
      <x:c r="F26" s="14" t="str">
        <x:v>HIPÓTESE de rateio. Inclui licença e serviços atuais; conferir após três meses.</x:v>
      </x:c>
    </x:row>
    <x:row r="27" ht="42" customHeight="1">
      <x:c r="A27" s="2"/>
      <x:c r="B27" s="14" t="str">
        <x:v>Manutenção coberta estimada — h/mês</x:v>
      </x:c>
      <x:c r="C27" s="27" t="n">
        <x:v>2</x:v>
      </x:c>
      <x:c r="D27" s="14"/>
      <x:c r="E27" s="14"/>
      <x:c r="F27" s="14" t="str">
        <x:v>Estimativa de custo interno, não franquia que limita a correção de defeitos cobertos.</x:v>
      </x:c>
    </x:row>
    <x:row r="28" ht="42" customHeight="1">
      <x:c r="A28" s="2"/>
      <x:c r="B28" s="14" t="str">
        <x:v>Valor econômico do seu tempo extra — R$/h</x:v>
      </x:c>
      <x:c r="C28" s="15" t="n">
        <x:v>100</x:v>
      </x:c>
      <x:c r="D28" s="14"/>
      <x:c r="E28" s="14"/>
      <x:c r="F28" s="14" t="str">
        <x:v>Referência de remuneração/oportunidade. Não é pró-labore adicional obrigatório nem líquido na PF.</x:v>
      </x:c>
    </x:row>
    <x:row r="29" ht="42" customHeight="1">
      <x:c r="A29" s="2"/>
      <x:c r="B29" s="14" t="str">
        <x:v>Limite de extras por dia — horas</x:v>
      </x:c>
      <x:c r="C29" s="27" t="n">
        <x:v>2</x:v>
      </x:c>
      <x:c r="D29" s="14"/>
      <x:c r="E29" s="14"/>
      <x:c r="F29" s="14" t="str">
        <x:v>Informado pelo usuário, para o conjunto dos projetos fora da Superpley.</x:v>
      </x:c>
    </x:row>
    <x:row r="30" ht="42" customHeight="1">
      <x:c r="A30" s="2"/>
      <x:c r="B30" s="14" t="str">
        <x:v>Dias úteis usados na simulação</x:v>
      </x:c>
      <x:c r="C30" s="20" t="n">
        <x:v>20</x:v>
      </x:c>
      <x:c r="D30" s="14"/>
      <x:c r="E30" s="14"/>
      <x:c r="F30" s="14" t="str">
        <x:v>Hipótese de capacidade mensal.</x:v>
      </x:c>
    </x:row>
    <x:row r="31" ht="26" customHeight="1">
      <x:c r="A31" s="2"/>
      <x:c r="B31" s="2" t="str">
        <x:v>Capacidade mensal de todos os extras — h</x:v>
      </x:c>
      <x:c r="C31" s="28" t="n">
        <x:f>C29*C30</x:f>
        <x:v>40</x:v>
      </x:c>
      <x:c r="D31" s="2"/>
      <x:c r="E31" s="2"/>
      <x:c r="F31" s="2"/>
    </x:row>
    <x:row r="32" ht="42" customHeight="1">
      <x:c r="A32" s="2"/>
      <x:c r="B32" s="14" t="str">
        <x:v>Limite sugerido para Arizona — h/mês</x:v>
      </x:c>
      <x:c r="C32" s="20" t="n">
        <x:v>16</x:v>
      </x:c>
      <x:c r="D32" s="14"/>
      <x:c r="E32" s="14"/>
      <x:c r="F32" s="14" t="str">
        <x:v>Inclui manutenção coberta. Teto de planejamento, não horas prometidas ao cliente.</x:v>
      </x:c>
    </x:row>
    <x:row r="33" ht="26" customHeight="1">
      <x:c r="A33" s="2"/>
      <x:c r="B33" s="2"/>
      <x:c r="C33" s="2"/>
      <x:c r="D33" s="2"/>
      <x:c r="E33" s="2"/>
      <x:c r="F33" s="2"/>
    </x:row>
    <x:row r="34" ht="26" customHeight="1">
      <x:c r="A34" s="2"/>
      <x:c r="B34" s="2" t="str">
        <x:v>Custos fixos atribuídos ao Arizona</x:v>
      </x:c>
      <x:c r="C34" s="25" t="n">
        <x:f>E9*C25+(E16-E9)*C26+E17</x:f>
        <x:v>672.5</x:v>
      </x:c>
      <x:c r="D34" s="2"/>
      <x:c r="E34" s="2"/>
      <x:c r="F34" s="2"/>
    </x:row>
    <x:row r="35" ht="26" customHeight="1">
      <x:c r="A35" s="2"/>
      <x:c r="B35" s="2" t="str">
        <x:v>Tempo de manutenção coberta valorizado</x:v>
      </x:c>
      <x:c r="C35" s="25" t="n">
        <x:f>C27*C28</x:f>
        <x:v>200</x:v>
      </x:c>
      <x:c r="D35" s="2"/>
      <x:c r="E35" s="2"/>
      <x:c r="F35" s="2"/>
    </x:row>
    <x:row r="36" ht="26" customHeight="1">
      <x:c r="A36" s="2"/>
      <x:c r="B36" s="22" t="str">
        <x:v>Custo econômico mensal da licença</x:v>
      </x:c>
      <x:c r="C36" s="24" t="n">
        <x:f>C34+C35</x:f>
        <x:v>872.5</x:v>
      </x:c>
      <x:c r="D36" s="22"/>
      <x:c r="E36" s="22"/>
      <x:c r="F36" s="22"/>
    </x:row>
    <x:row r="37" ht="26" customHeight="1">
      <x:c r="A37" s="2"/>
      <x:c r="B37" s="2"/>
      <x:c r="C37" s="2"/>
      <x:c r="D37" s="2"/>
      <x:c r="E37" s="2"/>
      <x:c r="F37" s="2"/>
    </x:row>
    <x:row r="38" ht="42" customHeight="1">
      <x:c r="A38" s="2"/>
      <x:c r="B38" s="14" t="str">
        <x:v>Custos incrementais por hora de serviço</x:v>
      </x:c>
      <x:c r="C38" s="15" t="n">
        <x:v>10</x:v>
      </x:c>
      <x:c r="D38" s="14"/>
      <x:c r="E38" s="14"/>
      <x:c r="F38" s="14" t="str">
        <x:v>HIPÓTESE para recursos de teste e operação específica; não repetir custos fixos já rateados.</x:v>
      </x:c>
    </x:row>
    <x:row r="39" ht="42" customHeight="1">
      <x:c r="A39" s="2"/>
      <x:c r="B39" s="14" t="str">
        <x:v>Desenvolvimento histórico estimado — horas</x:v>
      </x:c>
      <x:c r="C39" s="20" t="n">
        <x:v>160</x:v>
      </x:c>
      <x:c r="D39" s="14"/>
      <x:c r="E39" s="14"/>
      <x:c r="F39" s="14" t="str">
        <x:v>Estimativa do usuário: 160 horas totais ao longo de meses, sem apontamento preciso. Ver sensibilidade na aba Venda.</x:v>
      </x:c>
    </x:row>
    <x:row r="40" ht="26" customHeight="1">
      <x:c r="A40" s="2"/>
      <x:c r="B40" s="22" t="str">
        <x:v>Custo econômico por hora avulsa</x:v>
      </x:c>
      <x:c r="C40" s="24" t="n">
        <x:f>C28+C38</x:f>
        <x:v>110</x:v>
      </x:c>
      <x:c r="D40" s="22"/>
      <x:c r="E40" s="22"/>
      <x:c r="F40" s="22"/>
    </x:row>
    <x:row r="41" ht="26" customHeight="1">
      <x:c r="A41" s="2"/>
      <x:c r="B41" s="2"/>
      <x:c r="C41" s="2"/>
      <x:c r="D41" s="2"/>
      <x:c r="E41" s="2"/>
      <x:c r="F41" s="2"/>
    </x:row>
    <x:row r="42" ht="26" customHeight="1">
      <x:c r="A42" s="2"/>
      <x:c r="B42" s="2"/>
      <x:c r="C42" s="2"/>
      <x:c r="D42" s="2"/>
      <x:c r="E42" s="2"/>
      <x:c r="F42" s="2"/>
    </x:row>
    <x:row r="43" ht="27" customHeight="1">
      <x:c r="A43" s="2"/>
      <x:c r="B43" s="30" t="str">
        <x:v>Azul sobre amarelo: entradas. Valores estimados não são despesas comprovadas.</x:v>
      </x:c>
      <x:c r="C43" s="2"/>
      <x:c r="D43" s="2"/>
      <x:c r="E43" s="2"/>
      <x:c r="F43" s="2"/>
    </x:row>
    <x:row r="44" ht="27" customHeight="1">
      <x:c r="A44" s="2"/>
      <x:c r="B44" s="30" t="str">
        <x:v>A Superpley ocupa a jornada principal. O Arizona é receita adicional com capacidade limitada.</x:v>
      </x:c>
      <x:c r="C44" s="2"/>
      <x:c r="D44" s="2"/>
      <x:c r="E44" s="2"/>
      <x:c r="F44" s="2"/>
    </x:row>
    <x:row r="45" ht="27" customHeight="1">
      <x:c r="A45" s="2"/>
      <x:c r="B45" s="30" t="str">
        <x:v>O modelo não divide todos os custos da empresa por 80 horas atribuídas ao Arizona.</x:v>
      </x:c>
      <x:c r="C45" s="2"/>
      <x:c r="D45" s="2"/>
      <x:c r="E45" s="2"/>
      <x:c r="F45" s="2"/>
    </x:row>
    <x:row r="46" ht="27" customHeight="1">
      <x:c r="A46" s="2"/>
      <x:c r="B46" s="30" t="str">
        <x:v>As margens são gerenciais após valorizar seu trabalho; não são uma apuração contábil ou do IRPF.</x:v>
      </x:c>
      <x:c r="C46" s="2"/>
      <x:c r="D46" s="2"/>
      <x:c r="E46" s="2"/>
      <x:c r="F46" s="2"/>
    </x:row>
    <x:row r="47" ht="27" customHeight="1">
      <x:c r="A47" s="2"/>
      <x:c r="B47" s="30" t="str">
        <x:v>A remuneração econômica já representa seu trabalho. Não somar outra vez pró-labore à mesma hora.</x:v>
      </x:c>
      <x:c r="C47" s="2"/>
      <x:c r="D47" s="2"/>
      <x:c r="E47" s="2"/>
      <x:c r="F47" s="2"/>
    </x:row>
    <x:row r="48" ht="26" customHeight="1">
      <x:c r="A48" s="2"/>
      <x:c r="B48" s="2"/>
      <x:c r="C48" s="2"/>
      <x:c r="D48" s="2"/>
      <x:c r="E48" s="2"/>
      <x:c r="F48" s="2"/>
    </x:row>
    <x:row r="49" ht="26" customHeight="1">
      <x:c r="A49" s="2"/>
      <x:c r="B49" s="2"/>
      <x:c r="C49" s="2"/>
      <x:c r="D49" s="2"/>
      <x:c r="E49" s="2"/>
      <x:c r="F49" s="2"/>
    </x:row>
    <x:row r="50" ht="26" customHeight="1">
      <x:c r="A50" s="2"/>
      <x:c r="B50" s="2"/>
      <x:c r="C50" s="2"/>
      <x:c r="D50" s="2"/>
      <x:c r="E50" s="2"/>
      <x:c r="F50" s="2"/>
    </x:row>
    <x:row r="51" ht="26" customHeight="1">
      <x:c r="A51" s="2"/>
      <x:c r="B51" s="2"/>
      <x:c r="C51" s="2"/>
      <x:c r="D51" s="2"/>
      <x:c r="E51" s="2"/>
      <x:c r="F51" s="2"/>
    </x:row>
    <x:row r="52" ht="26" customHeight="1">
      <x:c r="A52" s="2"/>
      <x:c r="B52" s="2"/>
      <x:c r="C52" s="2"/>
      <x:c r="D52" s="2"/>
      <x:c r="E52" s="2"/>
      <x:c r="F52" s="2"/>
    </x:row>
    <x:row r="53" ht="26" customHeight="1">
      <x:c r="A53" s="2"/>
      <x:c r="B53" s="2"/>
      <x:c r="C53" s="2"/>
      <x:c r="D53" s="2"/>
      <x:c r="E53" s="2"/>
      <x:c r="F53" s="2"/>
    </x:row>
    <x:row r="54" ht="26" customHeight="1">
      <x:c r="A54" s="2"/>
      <x:c r="B54" s="2"/>
      <x:c r="C54" s="2"/>
      <x:c r="D54" s="2"/>
      <x:c r="E54" s="2"/>
      <x:c r="F5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6" customHeight="1">
      <x:c r="A2" s="2"/>
      <x:c r="B2" s="4" t="str">
        <x:v>Licença e serviços</x:v>
      </x:c>
      <x:c r="C2" s="5"/>
      <x:c r="D2" s="5"/>
      <x:c r="E2" s="5"/>
      <x:c r="F2" s="5"/>
      <x:c r="G2" s="5"/>
      <x:c r="H2" s="5"/>
      <x:c r="I2" s="5"/>
    </x:row>
    <x:row r="3" ht="26" customHeight="1">
      <x:c r="A3" s="2"/>
      <x:c r="B3" s="6" t="str">
        <x:v>Arizona Crossmedia · proposta de preços em 05/09/2026 · valores em reais</x:v>
      </x:c>
      <x:c r="C3" s="2"/>
      <x:c r="D3" s="2"/>
      <x:c r="E3" s="2"/>
      <x:c r="F3" s="2"/>
      <x:c r="G3" s="2"/>
      <x:c r="H3" s="2"/>
      <x:c r="I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8" customHeight="1">
      <x:c r="A5" s="2"/>
      <x:c r="B5" s="9" t="str">
        <x:v>Modalidade</x:v>
      </x:c>
      <x:c r="C5" s="9" t="str">
        <x:v>Preço</x:v>
      </x:c>
      <x:c r="D5" s="9" t="str">
        <x:v>Horas totais</x:v>
      </x:c>
      <x:c r="E5" s="9" t="str">
        <x:v>Custo econômico</x:v>
      </x:c>
      <x:c r="F5" s="9" t="str">
        <x:v>Tributos estimados</x:v>
      </x:c>
      <x:c r="G5" s="9" t="str">
        <x:v>Reserva de risco</x:v>
      </x:c>
      <x:c r="H5" s="9" t="str">
        <x:v>Resultado</x:v>
      </x:c>
      <x:c r="I5" s="9" t="str">
        <x:v>Margem</x:v>
      </x:c>
    </x:row>
    <x:row r="6" ht="42" customHeight="1">
      <x:c r="A6" s="2"/>
      <x:c r="B6" s="43" t="str">
        <x:v>Licença mensal recomendada</x:v>
      </x:c>
      <x:c r="C6" s="44" t="n">
        <x:v>1490</x:v>
      </x:c>
      <x:c r="D6" s="45" t="n">
        <x:f>'Custos'!C27</x:f>
        <x:v>2</x:v>
      </x:c>
      <x:c r="E6" s="46" t="n">
        <x:f>'Custos'!C36</x:f>
        <x:v>872.5</x:v>
      </x:c>
      <x:c r="F6" s="46" t="n">
        <x:f>C6*'Custos'!C22</x:f>
        <x:v>149</x:v>
      </x:c>
      <x:c r="G6" s="46" t="n">
        <x:f>C6*'Custos'!C24</x:f>
        <x:v>74.5</x:v>
      </x:c>
      <x:c r="H6" s="47" t="n">
        <x:f>C6-SUM(E6:G6)</x:f>
        <x:v>394</x:v>
      </x:c>
      <x:c r="I6" s="48" t="n">
        <x:f>H6/C6</x:f>
        <x:v>0.2644295302013423</x:v>
      </x:c>
    </x:row>
    <x:row r="7" ht="42" customHeight="1">
      <x:c r="A7" s="2"/>
      <x:c r="B7" s="14" t="str">
        <x:v>Licença a R$ 1.200 — concessão</x:v>
      </x:c>
      <x:c r="C7" s="15" t="n">
        <x:v>1200</x:v>
      </x:c>
      <x:c r="D7" s="34" t="n">
        <x:f>'Custos'!C27</x:f>
        <x:v>2</x:v>
      </x:c>
      <x:c r="E7" s="33" t="n">
        <x:f>'Custos'!C36</x:f>
        <x:v>872.5</x:v>
      </x:c>
      <x:c r="F7" s="33" t="n">
        <x:f>C7*'Custos'!C22</x:f>
        <x:v>120</x:v>
      </x:c>
      <x:c r="G7" s="33" t="n">
        <x:f>C7*'Custos'!C24</x:f>
        <x:v>60</x:v>
      </x:c>
      <x:c r="H7" s="23" t="n">
        <x:f>C7-SUM(E7:G7)</x:f>
        <x:v>147.5</x:v>
      </x:c>
      <x:c r="I7" s="36" t="n">
        <x:f>H7/C7</x:f>
        <x:v>0.12291666666666666</x:v>
      </x:c>
    </x:row>
    <x:row r="8" ht="42" customHeight="1">
      <x:c r="A8" s="2"/>
      <x:c r="B8" s="14" t="str">
        <x:v>Manutenção / feature avulsa — 1 hora</x:v>
      </x:c>
      <x:c r="C8" s="15" t="n">
        <x:v>200</x:v>
      </x:c>
      <x:c r="D8" s="35" t="n">
        <x:f>1</x:f>
        <x:v>1</x:v>
      </x:c>
      <x:c r="E8" s="33" t="n">
        <x:f>'Custos'!C40</x:f>
        <x:v>110</x:v>
      </x:c>
      <x:c r="F8" s="33" t="n">
        <x:f>C8*'Custos'!C22</x:f>
        <x:v>20</x:v>
      </x:c>
      <x:c r="G8" s="33" t="n">
        <x:f>C8*'Custos'!C24</x:f>
        <x:v>10</x:v>
      </x:c>
      <x:c r="H8" s="23" t="n">
        <x:f>C8-SUM(E8:G8)</x:f>
        <x:v>60</x:v>
      </x:c>
      <x:c r="I8" s="36" t="n">
        <x:f>H8/C8</x:f>
        <x:v>0.3</x:v>
      </x:c>
    </x:row>
    <x:row r="9" ht="42" customHeight="1">
      <x:c r="A9" s="2"/>
      <x:c r="B9" s="14" t="str">
        <x:v>Pacote de 4 horas mensais</x:v>
      </x:c>
      <x:c r="C9" s="15" t="n">
        <x:v>720</x:v>
      </x:c>
      <x:c r="D9" s="35" t="n">
        <x:f>4</x:f>
        <x:v>4</x:v>
      </x:c>
      <x:c r="E9" s="33" t="n">
        <x:f>D9*'Custos'!C40</x:f>
        <x:v>440</x:v>
      </x:c>
      <x:c r="F9" s="33" t="n">
        <x:f>C9*'Custos'!C22</x:f>
        <x:v>72</x:v>
      </x:c>
      <x:c r="G9" s="33" t="n">
        <x:f>C9*'Custos'!C24</x:f>
        <x:v>36</x:v>
      </x:c>
      <x:c r="H9" s="23" t="n">
        <x:f>C9-SUM(E9:G9)</x:f>
        <x:v>172</x:v>
      </x:c>
      <x:c r="I9" s="36" t="n">
        <x:f>H9/C9</x:f>
        <x:v>0.2388888888888889</x:v>
      </x:c>
    </x:row>
    <x:row r="10" ht="42" customHeight="1">
      <x:c r="A10" s="2"/>
      <x:c r="B10" s="14" t="str">
        <x:v>Pacote de 8 horas mensais</x:v>
      </x:c>
      <x:c r="C10" s="15" t="n">
        <x:v>1440</x:v>
      </x:c>
      <x:c r="D10" s="35" t="n">
        <x:f>8</x:f>
        <x:v>8</x:v>
      </x:c>
      <x:c r="E10" s="33" t="n">
        <x:f>D10*'Custos'!C40</x:f>
        <x:v>880</x:v>
      </x:c>
      <x:c r="F10" s="33" t="n">
        <x:f>C10*'Custos'!C22</x:f>
        <x:v>144</x:v>
      </x:c>
      <x:c r="G10" s="33" t="n">
        <x:f>C10*'Custos'!C24</x:f>
        <x:v>72</x:v>
      </x:c>
      <x:c r="H10" s="23" t="n">
        <x:f>C10-SUM(E10:G10)</x:f>
        <x:v>344</x:v>
      </x:c>
      <x:c r="I10" s="36" t="n">
        <x:f>H10/C10</x:f>
        <x:v>0.2388888888888889</x:v>
      </x:c>
    </x:row>
    <x:row r="11" ht="42" customHeight="1">
      <x:c r="A11" s="2"/>
      <x:c r="B11" s="43" t="str">
        <x:v>Licença + 3 horas — teto R$ 2.000</x:v>
      </x:c>
      <x:c r="C11" s="44" t="n">
        <x:v>2000</x:v>
      </x:c>
      <x:c r="D11" s="45" t="n">
        <x:f>'Custos'!C27+3</x:f>
        <x:v>5</x:v>
      </x:c>
      <x:c r="E11" s="46" t="n">
        <x:f>'Custos'!C36+3*'Custos'!C40</x:f>
        <x:v>1202.5</x:v>
      </x:c>
      <x:c r="F11" s="46" t="n">
        <x:f>C11*'Custos'!C22</x:f>
        <x:v>200</x:v>
      </x:c>
      <x:c r="G11" s="46" t="n">
        <x:f>C11*'Custos'!C24</x:f>
        <x:v>100</x:v>
      </x:c>
      <x:c r="H11" s="47" t="n">
        <x:f>C11-SUM(E11:G11)</x:f>
        <x:v>497.5</x:v>
      </x:c>
      <x:c r="I11" s="48" t="n">
        <x:f>H11/C11</x:f>
        <x:v>0.24875</x:v>
      </x:c>
    </x:row>
    <x:row r="12" ht="42" customHeight="1">
      <x:c r="A12" s="2"/>
      <x:c r="B12" s="43" t="str">
        <x:v>Licença + 8 horas mensais</x:v>
      </x:c>
      <x:c r="C12" s="47" t="n">
        <x:f>C6+C10</x:f>
        <x:v>2930</x:v>
      </x:c>
      <x:c r="D12" s="45" t="n">
        <x:f>'Custos'!C27+D10</x:f>
        <x:v>10</x:v>
      </x:c>
      <x:c r="E12" s="46" t="n">
        <x:f>'Custos'!C36+D10*'Custos'!C40</x:f>
        <x:v>1752.5</x:v>
      </x:c>
      <x:c r="F12" s="46" t="n">
        <x:f>C12*'Custos'!C22</x:f>
        <x:v>293</x:v>
      </x:c>
      <x:c r="G12" s="46" t="n">
        <x:f>C12*'Custos'!C24</x:f>
        <x:v>146.5</x:v>
      </x:c>
      <x:c r="H12" s="47" t="n">
        <x:f>C12-SUM(E12:G12)</x:f>
        <x:v>738</x:v>
      </x:c>
      <x:c r="I12" s="48" t="n">
        <x:f>H12/C12</x:f>
        <x:v>0.25187713310580206</x:v>
      </x:c>
    </x:row>
    <x:row r="13" ht="42" customHeight="1">
      <x:c r="A13" s="2"/>
      <x:c r="B13" s="14" t="str">
        <x:v>Proposta antiga: licença 1.200 + 8 h/mês</x:v>
      </x:c>
      <x:c r="C13" s="15" t="n">
        <x:v>2000</x:v>
      </x:c>
      <x:c r="D13" s="34" t="n">
        <x:f>'Custos'!C27+8</x:f>
        <x:v>10</x:v>
      </x:c>
      <x:c r="E13" s="33" t="n">
        <x:f>'Custos'!C36+8*'Custos'!C40</x:f>
        <x:v>1752.5</x:v>
      </x:c>
      <x:c r="F13" s="33" t="n">
        <x:f>C13*'Custos'!C22</x:f>
        <x:v>200</x:v>
      </x:c>
      <x:c r="G13" s="33" t="n">
        <x:f>C13*'Custos'!C24</x:f>
        <x:v>100</x:v>
      </x:c>
      <x:c r="H13" s="23" t="n">
        <x:f>C13-SUM(E13:G13)</x:f>
        <x:v>-52.5</x:v>
      </x:c>
      <x:c r="I13" s="36" t="n">
        <x:f>H13/C13</x:f>
        <x:v>-0.02625</x:v>
      </x:c>
    </x:row>
    <x:row r="14" ht="42" customHeight="1">
      <x:c r="A14" s="2"/>
      <x:c r="B14" s="14" t="str">
        <x:v>Proposta antiga: licença 1.200 + 8 h/semana</x:v>
      </x:c>
      <x:c r="C14" s="15" t="n">
        <x:v>2000</x:v>
      </x:c>
      <x:c r="D14" s="34" t="n">
        <x:f>'Custos'!C27+8*52/12</x:f>
        <x:v>36.666666666666664</x:v>
      </x:c>
      <x:c r="E14" s="33" t="n">
        <x:f>'Custos'!C36+8*52/12*'Custos'!C40</x:f>
        <x:v>4685.833333333333</x:v>
      </x:c>
      <x:c r="F14" s="33" t="n">
        <x:f>C14*'Custos'!C22</x:f>
        <x:v>200</x:v>
      </x:c>
      <x:c r="G14" s="33" t="n">
        <x:f>C14*'Custos'!C24</x:f>
        <x:v>100</x:v>
      </x:c>
      <x:c r="H14" s="23" t="n">
        <x:f>C14-SUM(E14:G14)</x:f>
        <x:v>-2985.833333333333</x:v>
      </x:c>
      <x:c r="I14" s="36" t="n">
        <x:f>H14/C14</x:f>
        <x:v>-1.4929166666666664</x:v>
      </x:c>
    </x:row>
    <x:row r="15" ht="26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6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48" customHeight="1">
      <x:c r="A17" s="2"/>
      <x:c r="B17" s="9" t="str">
        <x:v>Sensibilidade da licença</x:v>
      </x:c>
      <x:c r="C17" s="9" t="str">
        <x:v>2 h cobertas</x:v>
      </x:c>
      <x:c r="D17" s="9" t="str">
        <x:v>4 h cobertas</x:v>
      </x:c>
      <x:c r="E17" s="9" t="str">
        <x:v>8 h cobertas</x:v>
      </x:c>
      <x:c r="F17" s="2"/>
      <x:c r="G17" s="2"/>
      <x:c r="H17" s="2"/>
      <x:c r="I17" s="2"/>
    </x:row>
    <x:row r="18" ht="26" customHeight="1">
      <x:c r="A18" s="2"/>
      <x:c r="B18" s="2" t="str">
        <x:v>Horas usadas no cenário</x:v>
      </x:c>
      <x:c r="C18" s="2" t="n">
        <x:v>2</x:v>
      </x:c>
      <x:c r="D18" s="2" t="n">
        <x:v>4</x:v>
      </x:c>
      <x:c r="E18" s="2" t="n">
        <x:v>8</x:v>
      </x:c>
      <x:c r="F18" s="2"/>
      <x:c r="G18" s="2"/>
      <x:c r="H18" s="2"/>
      <x:c r="I18" s="2"/>
    </x:row>
    <x:row r="19" ht="26" customHeight="1">
      <x:c r="A19" s="2"/>
      <x:c r="B19" s="2" t="str">
        <x:v>Margem com DAS de planejamento</x:v>
      </x:c>
      <x:c r="C19" s="49" t="n">
        <x:f>($C$6*(1-'Custos'!C22-'Custos'!C24)-'Custos'!C34-C18*'Custos'!C28)/$C$6</x:f>
        <x:v>0.2644295302013423</x:v>
      </x:c>
      <x:c r="D19" s="49" t="n">
        <x:f>($C$6*(1-'Custos'!C22-'Custos'!C24)-'Custos'!C34-D18*'Custos'!C28)/$C$6</x:f>
        <x:v>0.13020134228187918</x:v>
      </x:c>
      <x:c r="E19" s="49" t="n">
        <x:f>($C$6*(1-'Custos'!C22-'Custos'!C24)-'Custos'!C34-E18*'Custos'!C28)/$C$6</x:f>
        <x:v>-0.138255033557047</x:v>
      </x:c>
      <x:c r="F19" s="2"/>
      <x:c r="G19" s="2"/>
      <x:c r="H19" s="2"/>
      <x:c r="I19" s="2"/>
    </x:row>
    <x:row r="20" ht="26" customHeight="1">
      <x:c r="A20" s="2"/>
      <x:c r="B20" s="2" t="str">
        <x:v>Margem com DAS de estresse</x:v>
      </x:c>
      <x:c r="C20" s="49" t="n">
        <x:f>($C$6*(1-'Custos'!C23-'Custos'!C24)-'Custos'!C34-C18*'Custos'!C28)/$C$6</x:f>
        <x:v>0.1994295302013422</x:v>
      </x:c>
      <x:c r="D20" s="49" t="n">
        <x:f>($C$6*(1-'Custos'!C23-'Custos'!C24)-'Custos'!C34-D18*'Custos'!C28)/$C$6</x:f>
        <x:v>0.0652013422818791</x:v>
      </x:c>
      <x:c r="E20" s="49" t="n">
        <x:f>($C$6*(1-'Custos'!C23-'Custos'!C24)-'Custos'!C34-E18*'Custos'!C28)/$C$6</x:f>
        <x:v>-0.20325503355704708</x:v>
      </x:c>
      <x:c r="F20" s="2"/>
      <x:c r="G20" s="2"/>
      <x:c r="H20" s="2"/>
      <x:c r="I20" s="2"/>
    </x:row>
    <x:row r="21" ht="26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6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6" customHeight="1">
      <x:c r="A23" s="2"/>
      <x:c r="B23" s="2" t="str">
        <x:v>Meta de margem de licença</x:v>
      </x:c>
      <x:c r="C23" s="13" t="n">
        <x:v>0.25</x:v>
      </x:c>
      <x:c r="D23" s="2"/>
      <x:c r="E23" s="2"/>
      <x:c r="F23" s="2"/>
      <x:c r="G23" s="2"/>
      <x:c r="H23" s="2"/>
      <x:c r="I23" s="2"/>
    </x:row>
    <x:row r="24" ht="26" customHeight="1">
      <x:c r="A24" s="2"/>
      <x:c r="B24" s="2" t="str">
        <x:v>Preço para a meta de licença</x:v>
      </x:c>
      <x:c r="C24" s="50" t="n">
        <x:f>'Custos'!C36/(1-'Custos'!C22-'Custos'!C24-C23)</x:f>
        <x:v>1454.1666666666667</x:v>
      </x:c>
      <x:c r="D24" s="2"/>
      <x:c r="E24" s="2"/>
      <x:c r="F24" s="2"/>
      <x:c r="G24" s="2"/>
      <x:c r="H24" s="2"/>
      <x:c r="I24" s="2"/>
    </x:row>
    <x:row r="25" ht="26" customHeight="1">
      <x:c r="A25" s="2"/>
      <x:c r="B25" s="2" t="str">
        <x:v>Meta de margem avulsa</x:v>
      </x:c>
      <x:c r="C25" s="13" t="n">
        <x:v>0.3</x:v>
      </x:c>
      <x:c r="D25" s="2"/>
      <x:c r="E25" s="2"/>
      <x:c r="F25" s="2"/>
      <x:c r="G25" s="2"/>
      <x:c r="H25" s="2"/>
      <x:c r="I25" s="2"/>
    </x:row>
    <x:row r="26" ht="26" customHeight="1">
      <x:c r="A26" s="2"/>
      <x:c r="B26" s="2" t="str">
        <x:v>Preço/h para a meta avulsa</x:v>
      </x:c>
      <x:c r="C26" s="50" t="n">
        <x:f>'Custos'!C40/(1-'Custos'!C22-'Custos'!C24-C25)</x:f>
        <x:v>199.99999999999997</x:v>
      </x:c>
      <x:c r="D26" s="2"/>
      <x:c r="E26" s="2"/>
      <x:c r="F26" s="2"/>
      <x:c r="G26" s="2"/>
      <x:c r="H26" s="2"/>
      <x:c r="I26" s="2"/>
    </x:row>
    <x:row r="27" ht="26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6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7" customHeight="1">
      <x:c r="A29" s="2"/>
      <x:c r="B29" s="30" t="str">
        <x:v>Serviços pressupõem a licença ativa e os custos fixos rateados acima. Ambiente adicional tem orçamento próprio.</x:v>
      </x:c>
      <x:c r="C29" s="2"/>
      <x:c r="D29" s="2"/>
      <x:c r="E29" s="2"/>
      <x:c r="F29" s="2"/>
      <x:c r="G29" s="2"/>
      <x:c r="H29" s="2"/>
      <x:c r="I29" s="2"/>
    </x:row>
    <x:row r="30" ht="27" customHeight="1">
      <x:c r="A30" s="2"/>
      <x:c r="B30" s="30" t="str">
        <x:v>Defeitos cobertos não consomem as horas pagas. As duas horas de manutenção são somente uma estimativa interna.</x:v>
      </x:c>
      <x:c r="C30" s="2"/>
      <x:c r="D30" s="2"/>
      <x:c r="E30" s="2"/>
      <x:c r="F30" s="2"/>
      <x:c r="G30" s="2"/>
      <x:c r="H30" s="2"/>
      <x:c r="I30" s="2"/>
    </x:row>
    <x:row r="31" ht="27" customHeight="1">
      <x:c r="A31" s="2"/>
      <x:c r="B31" s="30" t="str">
        <x:v>Reuniões, diagnóstico cobrável autorizado, implementação, testes e implantação entram nas horas de serviço.</x:v>
      </x:c>
      <x:c r="C31" s="2"/>
      <x:c r="D31" s="2"/>
      <x:c r="E31" s="2"/>
      <x:c r="F31" s="2"/>
      <x:c r="G31" s="2"/>
      <x:c r="H31" s="2"/>
      <x:c r="I31" s="2"/>
    </x:row>
    <x:row r="32" ht="27" customHeight="1">
      <x:c r="A32" s="2"/>
      <x:c r="B32" s="30" t="str">
        <x:v>Pacotes mensais antecipados: agenda combinada, sem plantão, sem acúmulo indefinido e sem garantia de entrega por volume.</x:v>
      </x:c>
      <x:c r="C32" s="2"/>
      <x:c r="D32" s="2"/>
      <x:c r="E32" s="2"/>
      <x:c r="F32" s="2"/>
      <x:c r="G32" s="2"/>
      <x:c r="H32" s="2"/>
      <x:c r="I32" s="2"/>
    </x:row>
    <x:row r="33" ht="27" customHeight="1">
      <x:c r="A33" s="2"/>
      <x:c r="B33" s="30" t="str">
        <x:v>Urgência depende de aceite e disponibilidade. O preço padrão não promete interromper a Superpley ou outros projetos.</x:v>
      </x:c>
      <x:c r="C33" s="2"/>
      <x:c r="D33" s="2"/>
      <x:c r="E33" s="2"/>
      <x:c r="F33" s="2"/>
      <x:c r="G33" s="2"/>
      <x:c r="H33" s="2"/>
      <x:c r="I33" s="2"/>
    </x:row>
    <x:row r="34" ht="27" customHeight="1">
      <x:c r="A34" s="2"/>
      <x:c r="B34" s="30" t="str">
        <x:v>Sugestão inicial: três meses de acompanhamento de horas, consumo e margem, com revisão para o período seguinte.</x:v>
      </x:c>
      <x:c r="C34" s="2"/>
      <x:c r="D34" s="2"/>
      <x:c r="E34" s="2"/>
      <x:c r="F34" s="2"/>
      <x:c r="G34" s="2"/>
      <x:c r="H34" s="2"/>
      <x:c r="I34" s="2"/>
    </x:row>
    <x:row r="35" ht="27" customHeight="1">
      <x:c r="A35" s="2"/>
      <x:c r="B35" s="30" t="str">
        <x:v>Licença: dez pessoas cadastradas, uma máquina ativa por pessoa. Render distribuído excluído.</x:v>
      </x:c>
      <x:c r="C35" s="2"/>
      <x:c r="D35" s="2"/>
      <x:c r="E35" s="2"/>
      <x:c r="F35" s="2"/>
      <x:c r="G35" s="2"/>
      <x:c r="H35" s="2"/>
      <x:c r="I35" s="2"/>
    </x:row>
    <x:row r="36" ht="27" customHeight="1">
      <x:c r="A36" s="2"/>
      <x:c r="B36" s="30" t="str">
        <x:v>Novas features permanecem sob titularidade expressamente pactuada. Exclusividade e cessão exigem outra proposta.</x:v>
      </x:c>
      <x:c r="C36" s="2"/>
      <x:c r="D36" s="2"/>
      <x:c r="E36" s="2"/>
      <x:c r="F36" s="2"/>
      <x:c r="G36" s="2"/>
      <x:c r="H36" s="2"/>
      <x:c r="I36" s="2"/>
    </x:row>
    <x:row r="37" ht="27" customHeight="1">
      <x:c r="A37" s="2"/>
      <x:c r="B37" s="30" t="str">
        <x:v>Preço fechado de feature: escopo e aceite definidos; estimativa inclui testes e provisão explícita de incerteza.</x:v>
      </x:c>
      <x:c r="C37" s="2"/>
      <x:c r="D37" s="2"/>
      <x:c r="E37" s="2"/>
      <x:c r="F37" s="2"/>
      <x:c r="G37" s="2"/>
      <x:c r="H37" s="2"/>
      <x:c r="I37" s="2"/>
    </x:row>
    <x:row r="38" ht="26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6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6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6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6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6" customHeight="1">
      <x:c r="A43" s="2"/>
      <x:c r="B43" s="2"/>
      <x:c r="C43" s="2"/>
      <x:c r="D43" s="2"/>
      <x:c r="E43" s="2"/>
      <x:c r="F43" s="2"/>
      <x:c r="G43" s="2"/>
      <x:c r="H43" s="2"/>
      <x:c r="I43" s="2"/>
    </x:row>
  </x:sheetData>
  <x:conditionalFormatting sqref="H6:I14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2"/>
      <x:c r="B2" s="4" t="str">
        <x:v>Venda e direitos de uso</x:v>
      </x:c>
      <x:c r="C2" s="5"/>
      <x:c r="D2" s="5"/>
      <x:c r="E2" s="5"/>
      <x:c r="F2" s="5"/>
      <x:c r="G2" s="5"/>
      <x:c r="H2" s="5"/>
    </x:row>
    <x:row r="3" ht="26" customHeight="1">
      <x:c r="A3" s="2"/>
      <x:c r="B3" s="6" t="str">
        <x:v>Arizona Crossmedia · proposta de preços em 05/09/2026 · valores em reais</x:v>
      </x:c>
      <x:c r="C3" s="2"/>
      <x:c r="D3" s="2"/>
      <x:c r="E3" s="2"/>
      <x:c r="F3" s="2"/>
      <x:c r="G3" s="2"/>
      <x:c r="H3" s="2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38" customHeight="1">
      <x:c r="A5" s="2"/>
      <x:c r="B5" s="14" t="str">
        <x:v>Criação histórica estimada — horas</x:v>
      </x:c>
      <x:c r="C5" s="52" t="n">
        <x:f>'Custos'!C39</x:f>
        <x:v>160</x:v>
      </x:c>
      <x:c r="D5" s="30" t="str">
        <x:v>160 h totais: estimativa do usuário, sem apontamento preciso.</x:v>
      </x:c>
      <x:c r="E5" s="2"/>
      <x:c r="F5" s="2"/>
      <x:c r="G5" s="2"/>
      <x:c r="H5" s="2"/>
    </x:row>
    <x:row r="6" ht="38" customHeight="1">
      <x:c r="A6" s="2"/>
      <x:c r="B6" s="14" t="str">
        <x:v>Atividade mensal PJ para rateio — horas</x:v>
      </x:c>
      <x:c r="C6" s="20" t="n">
        <x:v>160</x:v>
      </x:c>
      <x:c r="D6" s="30" t="str">
        <x:v>160 h/mês: convenção de rateio da empresa; não são horas disponíveis do Arizona.</x:v>
      </x:c>
      <x:c r="E6" s="2"/>
      <x:c r="F6" s="2"/>
      <x:c r="G6" s="2"/>
      <x:c r="H6" s="2"/>
    </x:row>
    <x:row r="7" ht="38" customHeight="1">
      <x:c r="A7" s="2"/>
      <x:c r="B7" s="14" t="str">
        <x:v>Custo/h com trabalho e estrutura</x:v>
      </x:c>
      <x:c r="C7" s="33" t="n">
        <x:f>'Custos'!C28+'Custos'!E16/C6</x:f>
        <x:v>119.21875</x:v>
      </x:c>
      <x:c r="D7" s="30" t="str">
        <x:v>R$ 100/h de trabalho + R$ 3.075 mensais divididos pelas horas de atividade.</x:v>
      </x:c>
      <x:c r="E7" s="2"/>
      <x:c r="F7" s="2"/>
      <x:c r="G7" s="2"/>
      <x:c r="H7" s="2"/>
    </x:row>
    <x:row r="8" ht="38" customHeight="1">
      <x:c r="A8" s="2"/>
      <x:c r="B8" s="14" t="str">
        <x:v>Custo econômico da criação estimada</x:v>
      </x:c>
      <x:c r="C8" s="23" t="n">
        <x:f>C5*C7</x:f>
        <x:v>19075</x:v>
      </x:c>
      <x:c r="D8" s="30" t="str">
        <x:v>Referência a custos atuais, não reconstrução contábil dos gastos passados.</x:v>
      </x:c>
      <x:c r="E8" s="2"/>
      <x:c r="F8" s="2"/>
      <x:c r="G8" s="2"/>
      <x:c r="H8" s="2"/>
    </x:row>
    <x:row r="9" ht="38" customHeight="1">
      <x:c r="A9" s="2"/>
      <x:c r="B9" s="14" t="str">
        <x:v>Supabase durante transição — meses</x:v>
      </x:c>
      <x:c r="C9" s="20" t="n">
        <x:v>3</x:v>
      </x:c>
      <x:c r="D9" s="30" t="str">
        <x:v>R$ 200/mês. Retirar sobreposição com infraestrutura já paga na assinatura.</x:v>
      </x:c>
      <x:c r="E9" s="2"/>
      <x:c r="F9" s="2"/>
      <x:c r="G9" s="2"/>
      <x:c r="H9" s="2"/>
    </x:row>
    <x:row r="10" ht="38" customHeight="1">
      <x:c r="A10" s="2"/>
      <x:c r="B10" s="14" t="str">
        <x:v>Reserva tributária central — hipótese</x:v>
      </x:c>
      <x:c r="C10" s="16" t="n">
        <x:v>0.15</x:v>
      </x:c>
      <x:c r="D10" s="30" t="str">
        <x:v>15% e 30% são cenários editáveis, não alíquotas apuradas ou teto fiscal.</x:v>
      </x:c>
      <x:c r="E10" s="2"/>
      <x:c r="F10" s="2"/>
      <x:c r="G10" s="2"/>
      <x:c r="H10" s="2"/>
    </x:row>
    <x:row r="11" ht="38" customHeight="1">
      <x:c r="A11" s="2"/>
      <x:c r="B11" s="14" t="str">
        <x:v>Reserva tributária de estresse — hipótese</x:v>
      </x:c>
      <x:c r="C11" s="16" t="n">
        <x:v>0.3</x:v>
      </x:c>
      <x:c r="D11" s="30" t="str">
        <x:v>A venda pode afetar também os tributos de outras receitas nos meses seguintes.</x:v>
      </x:c>
      <x:c r="E11" s="2"/>
      <x:c r="F11" s="2"/>
      <x:c r="G11" s="2"/>
      <x:c r="H11" s="2"/>
    </x:row>
    <x:row r="12" ht="38" customHeight="1">
      <x:c r="A12" s="2"/>
      <x:c r="B12" s="14" t="str">
        <x:v>Reserva gerencial de risco</x:v>
      </x:c>
      <x:c r="C12" s="53" t="n">
        <x:f>'Custos'!C24</x:f>
        <x:v>0.05</x:v>
      </x:c>
      <x:c r="D12" s="30" t="str">
        <x:v>Reserva não é despesa comprovada. Não descontar outra vez na margem.</x:v>
      </x:c>
      <x:c r="E12" s="2"/>
      <x:c r="F12" s="2"/>
      <x:c r="G12" s="2"/>
      <x:c r="H12" s="2"/>
    </x:row>
    <x:row r="13" ht="38" customHeight="1">
      <x:c r="A13" s="2"/>
      <x:c r="B13" s="14" t="str">
        <x:v>Criação já recuperada — hipótese inicial</x:v>
      </x:c>
      <x:c r="C13" s="15" t="n">
        <x:v>0</x:v>
      </x:c>
      <x:c r="D13" s="30" t="str">
        <x:v>Zero: hipótese de recuperar toda a criação aqui; abater recuperação identificável.</x:v>
      </x:c>
      <x:c r="E13" s="2"/>
      <x:c r="F13" s="2"/>
      <x:c r="G13" s="2"/>
      <x:c r="H13" s="2"/>
    </x:row>
    <x:row r="14" ht="26" customHeight="1">
      <x:c r="A14" s="2"/>
      <x:c r="B14" s="2"/>
      <x:c r="C14" s="2"/>
      <x:c r="D14" s="2"/>
      <x:c r="E14" s="2"/>
      <x:c r="F14" s="2"/>
      <x:c r="G14" s="2"/>
      <x:c r="H14" s="2"/>
    </x:row>
    <x:row r="15" ht="48" customHeight="1">
      <x:c r="A15" s="2"/>
      <x:c r="B15" s="9" t="str">
        <x:v>Custo por modalidade</x:v>
      </x:c>
      <x:c r="C15" s="9" t="str">
        <x:v>Transição — h</x:v>
      </x:c>
      <x:c r="D15" s="9" t="str">
        <x:v>Assessoria extra</x:v>
      </x:c>
      <x:c r="E15" s="9" t="str">
        <x:v>Criação a recuperar</x:v>
      </x:c>
      <x:c r="F15" s="9" t="str">
        <x:v>Transição com estrutura</x:v>
      </x:c>
      <x:c r="G15" s="9" t="str">
        <x:v>Supabase</x:v>
      </x:c>
      <x:c r="H15" s="9" t="str">
        <x:v>Custo total</x:v>
      </x:c>
    </x:row>
    <x:row r="16" ht="44" customHeight="1">
      <x:c r="A16" s="2"/>
      <x:c r="B16" s="14" t="str">
        <x:v>Fonte sem cessão</x:v>
      </x:c>
      <x:c r="C16" s="20" t="n">
        <x:v>40</x:v>
      </x:c>
      <x:c r="D16" s="15" t="n">
        <x:v>2500</x:v>
      </x:c>
      <x:c r="E16" s="23" t="n">
        <x:f>ROUND($C$8-$C$13,2)</x:f>
        <x:v>19075</x:v>
      </x:c>
      <x:c r="F16" s="23" t="n">
        <x:f>ROUND(C16*$C$7,2)</x:f>
        <x:v>4768.75</x:v>
      </x:c>
      <x:c r="G16" s="33" t="n">
        <x:f>ROUND($C$9*'Custos'!E17,2)</x:f>
        <x:v>600</x:v>
      </x:c>
      <x:c r="H16" s="23" t="n">
        <x:f>ROUND(SUM(D16:G16),2)</x:f>
        <x:v>26943.75</x:v>
      </x:c>
    </x:row>
    <x:row r="17" ht="44" customHeight="1">
      <x:c r="A17" s="2"/>
      <x:c r="B17" s="14" t="str">
        <x:v>Cessão parcial com núcleo reservado</x:v>
      </x:c>
      <x:c r="C17" s="20" t="n">
        <x:v>60</x:v>
      </x:c>
      <x:c r="D17" s="15" t="n">
        <x:v>3500</x:v>
      </x:c>
      <x:c r="E17" s="23" t="n">
        <x:f>ROUND($C$8-$C$13,2)</x:f>
        <x:v>19075</x:v>
      </x:c>
      <x:c r="F17" s="23" t="n">
        <x:f>ROUND(C17*$C$7,2)</x:f>
        <x:v>7153.13</x:v>
      </x:c>
      <x:c r="G17" s="33" t="n">
        <x:f>ROUND($C$9*'Custos'!E17,2)</x:f>
        <x:v>600</x:v>
      </x:c>
      <x:c r="H17" s="23" t="n">
        <x:f>ROUND(SUM(D17:G17),2)</x:f>
        <x:v>30328.13</x:v>
      </x:c>
    </x:row>
    <x:row r="18" ht="44" customHeight="1">
      <x:c r="A18" s="2"/>
      <x:c r="B18" s="14" t="str">
        <x:v>Cessão total do escopo negociado</x:v>
      </x:c>
      <x:c r="C18" s="20" t="n">
        <x:v>80</x:v>
      </x:c>
      <x:c r="D18" s="15" t="n">
        <x:v>5000</x:v>
      </x:c>
      <x:c r="E18" s="23" t="n">
        <x:f>ROUND($C$8-$C$13,2)</x:f>
        <x:v>19075</x:v>
      </x:c>
      <x:c r="F18" s="23" t="n">
        <x:f>ROUND(C18*$C$7,2)</x:f>
        <x:v>9537.5</x:v>
      </x:c>
      <x:c r="G18" s="33" t="n">
        <x:f>ROUND($C$9*'Custos'!E17,2)</x:f>
        <x:v>600</x:v>
      </x:c>
      <x:c r="H18" s="23" t="n">
        <x:f>ROUND(SUM(D18:G18),2)</x:f>
        <x:v>34212.5</x:v>
      </x:c>
    </x:row>
    <x:row r="19" ht="26" customHeight="1">
      <x:c r="A19" s="2"/>
      <x:c r="B19" s="2"/>
      <x:c r="C19" s="2"/>
      <x:c r="D19" s="2"/>
      <x:c r="E19" s="2"/>
      <x:c r="F19" s="2"/>
      <x:c r="G19" s="2"/>
      <x:c r="H19" s="2"/>
    </x:row>
    <x:row r="20" ht="26" customHeight="1">
      <x:c r="A20" s="2"/>
      <x:c r="B20" s="2"/>
      <x:c r="C20" s="2"/>
      <x:c r="D20" s="2"/>
      <x:c r="E20" s="2"/>
      <x:c r="F20" s="2"/>
      <x:c r="G20" s="2"/>
      <x:c r="H20" s="2"/>
    </x:row>
    <x:row r="21" ht="48" customHeight="1">
      <x:c r="A21" s="2"/>
      <x:c r="B21" s="9" t="str">
        <x:v>Negociação</x:v>
      </x:c>
      <x:c r="C21" s="9" t="str">
        <x:v>Abertura</x:v>
      </x:c>
      <x:c r="D21" s="9" t="str">
        <x:v>Alvo</x:v>
      </x:c>
      <x:c r="E21" s="9" t="str">
        <x:v>Limite condicional</x:v>
      </x:c>
      <x:c r="F21" s="9" t="str">
        <x:v>Custo total</x:v>
      </x:c>
      <x:c r="G21" s="2"/>
      <x:c r="H21" s="2"/>
    </x:row>
    <x:row r="22" ht="44" customHeight="1">
      <x:c r="A22" s="2"/>
      <x:c r="B22" s="43" t="str">
        <x:f>B16</x:f>
        <x:v>Fonte sem cessão</x:v>
      </x:c>
      <x:c r="C22" s="44" t="n">
        <x:v>49000</x:v>
      </x:c>
      <x:c r="D22" s="44" t="n">
        <x:v>45000</x:v>
      </x:c>
      <x:c r="E22" s="44" t="n">
        <x:v>42000</x:v>
      </x:c>
      <x:c r="F22" s="47" t="n">
        <x:f>H16</x:f>
        <x:v>26943.75</x:v>
      </x:c>
      <x:c r="G22" s="14"/>
      <x:c r="H22" s="14"/>
    </x:row>
    <x:row r="23" ht="44" customHeight="1">
      <x:c r="A23" s="2"/>
      <x:c r="B23" s="14" t="str">
        <x:f>B17</x:f>
        <x:v>Cessão parcial com núcleo reservado</x:v>
      </x:c>
      <x:c r="C23" s="15" t="n">
        <x:v>69000</x:v>
      </x:c>
      <x:c r="D23" s="15" t="n">
        <x:v>60000</x:v>
      </x:c>
      <x:c r="E23" s="15" t="n">
        <x:v>55000</x:v>
      </x:c>
      <x:c r="F23" s="23" t="n">
        <x:f>H17</x:f>
        <x:v>30328.13</x:v>
      </x:c>
      <x:c r="G23" s="14"/>
      <x:c r="H23" s="14"/>
    </x:row>
    <x:row r="24" ht="44" customHeight="1">
      <x:c r="A24" s="2"/>
      <x:c r="B24" s="14" t="str">
        <x:f>B18</x:f>
        <x:v>Cessão total do escopo negociado</x:v>
      </x:c>
      <x:c r="C24" s="15" t="n">
        <x:v>110000</x:v>
      </x:c>
      <x:c r="D24" s="15" t="n">
        <x:v>90000</x:v>
      </x:c>
      <x:c r="E24" s="15" t="n">
        <x:v>80000</x:v>
      </x:c>
      <x:c r="F24" s="23" t="n">
        <x:f>H18</x:f>
        <x:v>34212.5</x:v>
      </x:c>
      <x:c r="G24" s="14"/>
      <x:c r="H24" s="14"/>
    </x:row>
    <x:row r="25" ht="26" customHeight="1">
      <x:c r="A25" s="2"/>
      <x:c r="B25" s="2"/>
      <x:c r="C25" s="2"/>
      <x:c r="D25" s="2"/>
      <x:c r="E25" s="2"/>
      <x:c r="F25" s="2"/>
      <x:c r="G25" s="2"/>
      <x:c r="H25" s="2"/>
    </x:row>
    <x:row r="26" ht="26" customHeight="1">
      <x:c r="A26" s="2"/>
      <x:c r="B26" s="2"/>
      <x:c r="C26" s="2"/>
      <x:c r="D26" s="2"/>
      <x:c r="E26" s="2"/>
      <x:c r="F26" s="2"/>
      <x:c r="G26" s="2"/>
      <x:c r="H26" s="2"/>
    </x:row>
    <x:row r="27" ht="48" customHeight="1">
      <x:c r="A27" s="2"/>
      <x:c r="B27" s="9" t="str">
        <x:v>Saldo no preço-alvo</x:v>
      </x:c>
      <x:c r="C27" s="9" t="str">
        <x:v>Saldo central</x:v>
      </x:c>
      <x:c r="D27" s="9" t="str">
        <x:v>Margem central</x:v>
      </x:c>
      <x:c r="E27" s="9" t="str">
        <x:v>Saldo estresse</x:v>
      </x:c>
      <x:c r="F27" s="9" t="str">
        <x:v>Margem estresse</x:v>
      </x:c>
      <x:c r="G27" s="9" t="str">
        <x:v>Meta central</x:v>
      </x:c>
      <x:c r="H27" s="2"/>
    </x:row>
    <x:row r="28" ht="44" customHeight="1">
      <x:c r="A28" s="2"/>
      <x:c r="B28" s="43" t="str">
        <x:f>B16</x:f>
        <x:v>Fonte sem cessão</x:v>
      </x:c>
      <x:c r="C28" s="47" t="n">
        <x:f>ROUND(D22*(1-$C$10-$C$12)-H16,2)</x:f>
        <x:v>9056.25</x:v>
      </x:c>
      <x:c r="D28" s="48" t="n">
        <x:f>C28/D22</x:f>
        <x:v>0.20125</x:v>
      </x:c>
      <x:c r="E28" s="47" t="n">
        <x:f>ROUND(D22*(1-$C$11-$C$12)-H16,2)</x:f>
        <x:v>2306.25</x:v>
      </x:c>
      <x:c r="F28" s="48" t="n">
        <x:f>E28/D22</x:f>
        <x:v>0.05125</x:v>
      </x:c>
      <x:c r="G28" s="55" t="n">
        <x:v>0.2</x:v>
      </x:c>
      <x:c r="H28" s="14"/>
    </x:row>
    <x:row r="29" ht="44" customHeight="1">
      <x:c r="A29" s="2"/>
      <x:c r="B29" s="14" t="str">
        <x:f>B17</x:f>
        <x:v>Cessão parcial com núcleo reservado</x:v>
      </x:c>
      <x:c r="C29" s="23" t="n">
        <x:f>ROUND(D23*(1-$C$10-$C$12)-H17,2)</x:f>
        <x:v>17671.87</x:v>
      </x:c>
      <x:c r="D29" s="36" t="n">
        <x:f>C29/D23</x:f>
        <x:v>0.2945311666666667</x:v>
      </x:c>
      <x:c r="E29" s="23" t="n">
        <x:f>ROUND(D23*(1-$C$11-$C$12)-H17,2)</x:f>
        <x:v>8671.87</x:v>
      </x:c>
      <x:c r="F29" s="36" t="n">
        <x:f>E29/D23</x:f>
        <x:v>0.14453116666666668</x:v>
      </x:c>
      <x:c r="G29" s="16" t="n">
        <x:v>0.3</x:v>
      </x:c>
      <x:c r="H29" s="14"/>
    </x:row>
    <x:row r="30" ht="44" customHeight="1">
      <x:c r="A30" s="2"/>
      <x:c r="B30" s="14" t="str">
        <x:f>B18</x:f>
        <x:v>Cessão total do escopo negociado</x:v>
      </x:c>
      <x:c r="C30" s="23" t="n">
        <x:f>ROUND(D24*(1-$C$10-$C$12)-H18,2)</x:f>
        <x:v>37787.5</x:v>
      </x:c>
      <x:c r="D30" s="36" t="n">
        <x:f>C30/D24</x:f>
        <x:v>0.41986111111111113</x:v>
      </x:c>
      <x:c r="E30" s="23" t="n">
        <x:f>ROUND(D24*(1-$C$11-$C$12)-H18,2)</x:f>
        <x:v>24287.5</x:v>
      </x:c>
      <x:c r="F30" s="36" t="n">
        <x:f>E30/D24</x:f>
        <x:v>0.2698611111111111</x:v>
      </x:c>
      <x:c r="G30" s="16" t="n">
        <x:v>0.4</x:v>
      </x:c>
      <x:c r="H30" s="14"/>
    </x:row>
    <x:row r="31" ht="26" customHeight="1">
      <x:c r="A31" s="2"/>
      <x:c r="B31" s="2"/>
      <x:c r="C31" s="2"/>
      <x:c r="D31" s="2"/>
      <x:c r="E31" s="2"/>
      <x:c r="F31" s="2"/>
      <x:c r="G31" s="2"/>
      <x:c r="H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</x:row>
    <x:row r="33" ht="48" customHeight="1">
      <x:c r="A33" s="2"/>
      <x:c r="B33" s="9" t="str">
        <x:v>Sensibilidade da criação: fonte</x:v>
      </x:c>
      <x:c r="C33" s="9" t="str">
        <x:v>Horas históricas</x:v>
      </x:c>
      <x:c r="D33" s="9" t="str">
        <x:v>Custo total fonte</x:v>
      </x:c>
      <x:c r="E33" s="9" t="str">
        <x:v>Margem central</x:v>
      </x:c>
      <x:c r="F33" s="9" t="str">
        <x:v>Margem estresse</x:v>
      </x:c>
      <x:c r="G33" s="2"/>
      <x:c r="H33" s="2"/>
    </x:row>
    <x:row r="34" ht="26" customHeight="1">
      <x:c r="A34" s="2"/>
      <x:c r="B34" s="2" t="str">
        <x:v>Menor investimento</x:v>
      </x:c>
      <x:c r="C34" s="19" t="n">
        <x:v>120</x:v>
      </x:c>
      <x:c r="D34" s="25" t="n">
        <x:f>C34*$C$7-$C$13+SUM(D16,F16:G16)</x:f>
        <x:v>22175</x:v>
      </x:c>
      <x:c r="E34" s="56" t="n">
        <x:f>($D$22*(1-$C$10-$C$12)-D34)/$D$22</x:f>
        <x:v>0.30722222222222223</x:v>
      </x:c>
      <x:c r="F34" s="56" t="n">
        <x:f>($D$22*(1-$C$11-$C$12)-D34)/$D$22</x:f>
        <x:v>0.15722222222222215</x:v>
      </x:c>
      <x:c r="G34" s="2"/>
      <x:c r="H34" s="2"/>
    </x:row>
    <x:row r="35" ht="26" customHeight="1">
      <x:c r="A35" s="2"/>
      <x:c r="B35" s="2" t="str">
        <x:v>Estimativa central</x:v>
      </x:c>
      <x:c r="C35" s="19" t="n">
        <x:v>160</x:v>
      </x:c>
      <x:c r="D35" s="25" t="n">
        <x:f>C35*$C$7-$C$13+SUM(D16,F16:G16)</x:f>
        <x:v>26943.75</x:v>
      </x:c>
      <x:c r="E35" s="56" t="n">
        <x:f>($D$22*(1-$C$10-$C$12)-D35)/$D$22</x:f>
        <x:v>0.20125</x:v>
      </x:c>
      <x:c r="F35" s="56" t="n">
        <x:f>($D$22*(1-$C$11-$C$12)-D35)/$D$22</x:f>
        <x:v>0.05124999999999992</x:v>
      </x:c>
      <x:c r="G35" s="2"/>
      <x:c r="H35" s="2"/>
    </x:row>
    <x:row r="36" ht="26" customHeight="1">
      <x:c r="A36" s="2"/>
      <x:c r="B36" s="2" t="str">
        <x:v>Maior investimento</x:v>
      </x:c>
      <x:c r="C36" s="19" t="n">
        <x:v>200</x:v>
      </x:c>
      <x:c r="D36" s="25" t="n">
        <x:f>C36*$C$7-$C$13+SUM(D16,F16:G16)</x:f>
        <x:v>31712.5</x:v>
      </x:c>
      <x:c r="E36" s="56" t="n">
        <x:f>($D$22*(1-$C$10-$C$12)-D36)/$D$22</x:f>
        <x:v>0.09527777777777778</x:v>
      </x:c>
      <x:c r="F36" s="56" t="n">
        <x:f>($D$22*(1-$C$11-$C$12)-D36)/$D$22</x:f>
        <x:v>-0.054722222222222304</x:v>
      </x:c>
      <x:c r="G36" s="2"/>
      <x:c r="H36" s="2"/>
    </x:row>
    <x:row r="37" ht="26" customHeight="1">
      <x:c r="A37" s="2"/>
      <x:c r="B37" s="2"/>
      <x:c r="C37" s="2"/>
      <x:c r="D37" s="2"/>
      <x:c r="E37" s="2"/>
      <x:c r="F37" s="2"/>
      <x:c r="G37" s="2"/>
      <x:c r="H37" s="2"/>
    </x:row>
    <x:row r="38" ht="26" customHeight="1">
      <x:c r="A38" s="2"/>
      <x:c r="B38" s="2"/>
      <x:c r="C38" s="2"/>
      <x:c r="D38" s="2"/>
      <x:c r="E38" s="2"/>
      <x:c r="F38" s="2"/>
      <x:c r="G38" s="2"/>
      <x:c r="H38" s="2"/>
    </x:row>
    <x:row r="39" ht="40" customHeight="1">
      <x:c r="A39" s="2"/>
      <x:c r="B39" s="14" t="str">
        <x:v>Contribuição mensal da licença antes dos fixos</x:v>
      </x:c>
      <x:c r="C39" s="33" t="n">
        <x:f>'Planos'!C6*(1-'Custos'!C22-'Custos'!C24)-'Custos'!E17-'Custos'!C35</x:f>
        <x:v>866.5</x:v>
      </x:c>
      <x:c r="D39" s="2"/>
      <x:c r="E39" s="2"/>
      <x:c r="F39" s="2"/>
      <x:c r="G39" s="2"/>
      <x:c r="H39" s="2"/>
    </x:row>
    <x:row r="40" ht="40" customHeight="1">
      <x:c r="A40" s="2"/>
      <x:c r="B40" s="14" t="str">
        <x:v>Fonte: saldo central antes de recuperar criação</x:v>
      </x:c>
      <x:c r="C40" s="23" t="n">
        <x:f>D22*(1-C10-C12)-SUM(D16,F16:G16)</x:f>
        <x:v>28131.25</x:v>
      </x:c>
      <x:c r="D40" s="2"/>
      <x:c r="E40" s="2"/>
      <x:c r="F40" s="2"/>
      <x:c r="G40" s="2"/>
      <x:c r="H40" s="2"/>
    </x:row>
    <x:row r="41" ht="40" customHeight="1">
      <x:c r="A41" s="2"/>
      <x:c r="B41" s="14" t="str">
        <x:v>Equivalência em meses de contribuição</x:v>
      </x:c>
      <x:c r="C41" s="57" t="n">
        <x:f>C40/C39</x:f>
        <x:v>32.46537795729948</x:v>
      </x:c>
      <x:c r="D41" s="2"/>
      <x:c r="E41" s="2"/>
      <x:c r="F41" s="2"/>
      <x:c r="G41" s="2"/>
      <x:c r="H41" s="2"/>
    </x:row>
    <x:row r="42" ht="40" customHeight="1">
      <x:c r="A42" s="2"/>
      <x:c r="B42" s="14" t="str">
        <x:v>Prêmio líquido: cessão total sobre fonte</x:v>
      </x:c>
      <x:c r="C42" s="23" t="n">
        <x:f>D24*(1-C10-C12)-SUM(D18,F18:G18)-C40</x:f>
        <x:v>28731.25</x:v>
      </x:c>
      <x:c r="D42" s="2"/>
      <x:c r="E42" s="2"/>
      <x:c r="F42" s="2"/>
      <x:c r="G42" s="2"/>
      <x:c r="H42" s="2"/>
    </x:row>
    <x:row r="43" ht="40" customHeight="1">
      <x:c r="A43" s="2"/>
      <x:c r="B43" s="14" t="str">
        <x:v>Preço da fonte para meta, no estresse</x:v>
      </x:c>
      <x:c r="C43" s="23" t="n">
        <x:f>H16/(1-C11-C12-G28)</x:f>
        <x:v>59875.000000000015</x:v>
      </x:c>
      <x:c r="D43" s="2"/>
      <x:c r="E43" s="2"/>
      <x:c r="F43" s="2"/>
      <x:c r="G43" s="2"/>
      <x:c r="H43" s="2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</x:row>
    <x:row r="45" ht="26" customHeight="1">
      <x:c r="A45" s="2"/>
      <x:c r="B45" s="2"/>
      <x:c r="C45" s="2"/>
      <x:c r="D45" s="2"/>
      <x:c r="E45" s="2"/>
      <x:c r="F45" s="2"/>
      <x:c r="G45" s="2"/>
      <x:c r="H45" s="2"/>
    </x:row>
    <x:row r="46" ht="27" customHeight="1">
      <x:c r="A46" s="2"/>
      <x:c r="B46" s="30" t="str">
        <x:v>Custos contam uma vez por alternativa. Não somar R$ 672,50/mês, R$ 10/h, IA, computador ou pró-labore novamente.</x:v>
      </x:c>
      <x:c r="C46" s="2"/>
      <x:c r="D46" s="2"/>
      <x:c r="E46" s="2"/>
      <x:c r="F46" s="2"/>
      <x:c r="G46" s="2"/>
      <x:c r="H46" s="2"/>
    </x:row>
    <x:row r="47" ht="27" customHeight="1">
      <x:c r="A47" s="2"/>
      <x:c r="B47" s="30" t="str">
        <x:v>As margens já deduzem criação estimada e entrega. Não são lucro contábil ou líquido pessoal comprovado.</x:v>
      </x:c>
      <x:c r="C47" s="2"/>
      <x:c r="D47" s="2"/>
      <x:c r="E47" s="2"/>
      <x:c r="F47" s="2"/>
      <x:c r="G47" s="2"/>
      <x:c r="H47" s="2"/>
    </x:row>
    <x:row r="48" ht="27" customHeight="1">
      <x:c r="A48" s="2"/>
      <x:c r="B48" s="30" t="str">
        <x:v>Oportunidades futuras abandonadas não foram deduzidas. Avaliar o prêmio de IP antes de abrir mão da reutilização.</x:v>
      </x:c>
      <x:c r="C48" s="2"/>
      <x:c r="D48" s="2"/>
      <x:c r="E48" s="2"/>
      <x:c r="F48" s="2"/>
      <x:c r="G48" s="2"/>
      <x:c r="H48" s="2"/>
    </x:row>
    <x:row r="49" ht="27" customHeight="1">
      <x:c r="A49" s="2"/>
      <x:c r="B49" s="30" t="str">
        <x:v>A comparação com mensalidades é uma alternativa de avaliação; não somar essa receita ao custo calculado.</x:v>
      </x:c>
      <x:c r="C49" s="2"/>
      <x:c r="D49" s="2"/>
      <x:c r="E49" s="2"/>
      <x:c r="F49" s="2"/>
      <x:c r="G49" s="2"/>
      <x:c r="H49" s="2"/>
    </x:row>
    <x:row r="50" ht="27" customHeight="1">
      <x:c r="A50" s="2"/>
      <x:c r="B50" s="30" t="str">
        <x:v>Aberturas e limites são propostas comerciais, não preços de mercado comprovados. Desconto exige contrapartida real.</x:v>
      </x:c>
      <x:c r="C50" s="2"/>
      <x:c r="D50" s="2"/>
      <x:c r="E50" s="2"/>
      <x:c r="F50" s="2"/>
      <x:c r="G50" s="2"/>
      <x:c r="H50" s="2"/>
    </x:row>
    <x:row r="51" ht="27" customHeight="1">
      <x:c r="A51" s="2"/>
      <x:c r="B51" s="30" t="str">
        <x:v>Fonte a R$ 42 mil deixa só R$ 356,25 no estresse. Validar tributação e escopo antes de usar o limite.</x:v>
      </x:c>
      <x:c r="C51" s="2"/>
      <x:c r="D51" s="2"/>
      <x:c r="E51" s="2"/>
      <x:c r="F51" s="2"/>
      <x:c r="G51" s="2"/>
      <x:c r="H51" s="2"/>
    </x:row>
    <x:row r="52" ht="27" customHeight="1">
      <x:c r="A52" s="2"/>
      <x:c r="B52" s="30" t="str">
        <x:v>Fonte sem cessão: uso interno e manutenção por terceiros sob sigilo. Fornecedor preserva exploração e reutilização.</x:v>
      </x:c>
      <x:c r="C52" s="2"/>
      <x:c r="D52" s="2"/>
      <x:c r="E52" s="2"/>
      <x:c r="F52" s="2"/>
      <x:c r="G52" s="2"/>
      <x:c r="H52" s="2"/>
    </x:row>
    <x:row r="53" ht="27" customHeight="1">
      <x:c r="A53" s="2"/>
      <x:c r="B53" s="30" t="str">
        <x:v>Cessão parcial: componentes cedidos e núcleo reservado identificados, com licença suficiente para o comprador.</x:v>
      </x:c>
      <x:c r="C53" s="2"/>
      <x:c r="D53" s="2"/>
      <x:c r="E53" s="2"/>
      <x:c r="F53" s="2"/>
      <x:c r="G53" s="2"/>
      <x:c r="H53" s="2"/>
    </x:row>
    <x:row r="54" ht="27" customHeight="1">
      <x:c r="A54" s="2"/>
      <x:c r="B54" s="30" t="str">
        <x:v>Cessão total a R$ 90 mil não inclui licença de retorno. Reutilizar código cedido depende de direito expresso.</x:v>
      </x:c>
      <x:c r="C54" s="2"/>
      <x:c r="D54" s="2"/>
      <x:c r="E54" s="2"/>
      <x:c r="F54" s="2"/>
      <x:c r="G54" s="2"/>
      <x:c r="H54" s="2"/>
    </x:row>
    <x:row r="55" ht="27" customHeight="1">
      <x:c r="A55" s="2"/>
      <x:c r="B55" s="30" t="str">
        <x:v>Render distribuído excluído. Titularidade anterior, direitos de terceiros e sigilo precisam de definição contratual.</x:v>
      </x:c>
      <x:c r="C55" s="2"/>
      <x:c r="D55" s="2"/>
      <x:c r="E55" s="2"/>
      <x:c r="F55" s="2"/>
      <x:c r="G55" s="2"/>
      <x:c r="H55" s="2"/>
    </x:row>
    <x:row r="56" ht="27" customHeight="1">
      <x:c r="A56" s="2"/>
      <x:c r="B56" s="30" t="str">
        <x:v>Transição e assessoria são hipóteses. Fechar versão, documentação, aceite, correções cobertas e prazo técnico.</x:v>
      </x:c>
      <x:c r="C56" s="2"/>
      <x:c r="D56" s="2"/>
      <x:c r="E56" s="2"/>
      <x:c r="F56" s="2"/>
      <x:c r="G56" s="2"/>
      <x:c r="H56" s="2"/>
    </x:row>
    <x:row r="57" ht="27" customHeight="1">
      <x:c r="A57" s="2"/>
      <x:c r="B57" s="30" t="str">
        <x:v>Horas estimadas não limitam automaticamente obrigações cobertas. Infraestrutura posterior fica com o comprador.</x:v>
      </x:c>
      <x:c r="C57" s="2"/>
      <x:c r="D57" s="2"/>
      <x:c r="E57" s="2"/>
      <x:c r="F57" s="2"/>
      <x:c r="G57" s="2"/>
      <x:c r="H57" s="2"/>
    </x:row>
    <x:row r="58" ht="27" customHeight="1">
      <x:c r="A58" s="2"/>
      <x:c r="B58" s="30" t="str">
        <x:v>40% assinatura, 30% homologação, 30% antes da entrega final e eficácia dos direitos. Rever financiamento longo.</x:v>
      </x:c>
      <x:c r="C58" s="2"/>
      <x:c r="D58" s="2"/>
      <x:c r="E58" s="2"/>
      <x:c r="F58" s="2"/>
      <x:c r="G58" s="2"/>
      <x:c r="H58" s="2"/>
    </x:row>
    <x:row r="59" ht="27" customHeight="1">
      <x:c r="A59" s="2"/>
      <x:c r="B59" s="30" t="str">
        <x:v>Fonte com licença interna encerra a mensalidade do escopo adquirido conforme contrato; evolução é separada.</x:v>
      </x:c>
      <x:c r="C59" s="2"/>
      <x:c r="D59" s="2"/>
      <x:c r="E59" s="2"/>
      <x:c r="F59" s="2"/>
      <x:c r="G59" s="2"/>
      <x:c r="H59" s="2"/>
    </x:row>
    <x:row r="60" ht="27" customHeight="1">
      <x:c r="A60" s="2"/>
      <x:c r="B60" s="30" t="str">
        <x:v>Não somar DAS e ganho de capital automaticamente. Simular receita, RBT12 e fator R antes de fechar o preço.</x:v>
      </x:c>
      <x:c r="C60" s="2"/>
      <x:c r="D60" s="2"/>
      <x:c r="E60" s="2"/>
      <x:c r="F60" s="2"/>
      <x:c r="G60" s="2"/>
      <x:c r="H60" s="2"/>
    </x:row>
    <x:row r="61" ht="27" customHeight="1">
      <x:c r="A61" s="2"/>
      <x:c r="B61" s="30" t="str">
        <x:v>As 160 h/mês de rateio e 160 h totais de criação são premissas distintas. Alterar uma não altera a outra.</x:v>
      </x:c>
      <x:c r="C61" s="2"/>
      <x:c r="D61" s="2"/>
      <x:c r="E61" s="2"/>
      <x:c r="F61" s="2"/>
      <x:c r="G61" s="2"/>
      <x:c r="H61" s="2"/>
    </x:row>
    <x:row r="62" ht="27" customHeight="1">
      <x:c r="A62" s="2"/>
      <x:c r="B62" s="30" t="str">
        <x:v>Perpétua sem fonte: sob consulta. Os preços antigos de venda foram substituídos por este modelo.</x:v>
      </x:c>
      <x:c r="C62" s="2"/>
      <x:c r="D62" s="2"/>
      <x:c r="E62" s="2"/>
      <x:c r="F62" s="2"/>
      <x:c r="G62" s="2"/>
      <x:c r="H62" s="2"/>
    </x:row>
    <x:row r="63" ht="26" customHeight="1">
      <x:c r="A63" s="2"/>
      <x:c r="B63" s="2"/>
      <x:c r="C63" s="2"/>
      <x:c r="D63" s="2"/>
      <x:c r="E63" s="2"/>
      <x:c r="F63" s="2"/>
      <x:c r="G63" s="2"/>
      <x:c r="H63" s="2"/>
    </x:row>
    <x:row r="64" ht="26" customHeight="1">
      <x:c r="A64" s="2"/>
      <x:c r="B64" s="2"/>
      <x:c r="C64" s="2"/>
      <x:c r="D64" s="2"/>
      <x:c r="E64" s="2"/>
      <x:c r="F64" s="2"/>
      <x:c r="G64" s="2"/>
      <x:c r="H64" s="2"/>
    </x:row>
    <x:row r="65" ht="26" customHeight="1">
      <x:c r="A65" s="2"/>
      <x:c r="B65" s="2"/>
      <x:c r="C65" s="2"/>
      <x:c r="D65" s="2"/>
      <x:c r="E65" s="2"/>
      <x:c r="F65" s="2"/>
      <x:c r="G65" s="2"/>
      <x:c r="H65" s="2"/>
    </x:row>
    <x:row r="66" ht="26" customHeight="1">
      <x:c r="A66" s="2"/>
      <x:c r="B66" s="2"/>
      <x:c r="C66" s="2"/>
      <x:c r="D66" s="2"/>
      <x:c r="E66" s="2"/>
      <x:c r="F66" s="2"/>
      <x:c r="G66" s="2"/>
      <x:c r="H66" s="2"/>
    </x:row>
  </x:sheetData>
  <x:conditionalFormatting sqref="C28:F36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0" hidden="0" customWidth="1"/>
    <x:col min="3" max="3" width="68" hidden="0" customWidth="1"/>
    <x:col min="4" max="4" width="86" hidden="0" customWidth="1"/>
    <x:col min="5" max="5" width="17" hidden="0" customWidth="1"/>
  </x:cols>
  <x:sheetData>
    <x:row r="1" ht="26" customHeight="1">
      <x:c r="A1" s="2"/>
      <x:c r="B1" s="2"/>
      <x:c r="C1" s="2"/>
      <x:c r="D1" s="2"/>
      <x:c r="E1" s="2"/>
    </x:row>
    <x:row r="2" ht="26" customHeight="1">
      <x:c r="A2" s="2"/>
      <x:c r="B2" s="4" t="str">
        <x:v>Fontes e condições da análise</x:v>
      </x:c>
      <x:c r="C2" s="5"/>
      <x:c r="D2" s="5"/>
      <x:c r="E2" s="5"/>
    </x:row>
    <x:row r="3" ht="26" customHeight="1">
      <x:c r="A3" s="2"/>
      <x:c r="B3" s="6" t="str">
        <x:v>Arizona Crossmedia · proposta de preços em 05/09/2026 · valores em reais</x:v>
      </x:c>
      <x:c r="C3" s="2"/>
      <x:c r="D3" s="2"/>
      <x:c r="E3" s="2"/>
    </x:row>
    <x:row r="4" ht="26" customHeight="1">
      <x:c r="A4" s="2"/>
      <x:c r="B4" s="2"/>
      <x:c r="C4" s="2"/>
      <x:c r="D4" s="2"/>
      <x:c r="E4" s="2"/>
    </x:row>
    <x:row r="5" ht="48" customHeight="1">
      <x:c r="A5" s="2"/>
      <x:c r="B5" s="9" t="str">
        <x:v>Tema</x:v>
      </x:c>
      <x:c r="C5" s="9" t="str">
        <x:v>Informação e limite</x:v>
      </x:c>
      <x:c r="D5" s="9" t="str">
        <x:v>Fonte</x:v>
      </x:c>
      <x:c r="E5" s="2"/>
    </x:row>
    <x:row r="6" ht="68" customHeight="1">
      <x:c r="A6" s="2"/>
      <x:c r="B6" s="14" t="str">
        <x:v>Informações do usuário</x:v>
      </x:c>
      <x:c r="C6" s="14" t="str">
        <x:v>Superpley ocupa jornada principal. Extras até duas horas/dia. Criação do Arizona estimada em 160 horas totais ao longo de meses.</x:v>
      </x:c>
      <x:c r="D6" s="14" t="str">
        <x:v>Conversa de 05/09/2026. Tempo histórico aproximado, sem apontamento preciso.</x:v>
      </x:c>
      <x:c r="E6" s="2"/>
    </x:row>
    <x:row r="7" ht="68" customHeight="1">
      <x:c r="A7" s="2"/>
      <x:c r="B7" s="14" t="str">
        <x:v>Custos informados</x:v>
      </x:c>
      <x:c r="C7" s="14" t="str">
        <x:v>Fibra R$ 200; conexão backup R$ 300; luz casa/office R$ 500; PC R$ 25 mil; contador R$ 200; Supabase ~R$ 200.</x:v>
      </x:c>
      <x:c r="D7" s="14" t="str">
        <x:v>Usuário. Custos compartilhados não são todos atribuídos ao Arizona.</x:v>
      </x:c>
      <x:c r="E7" s="2"/>
    </x:row>
    <x:row r="8" ht="68" customHeight="1">
      <x:c r="A8" s="2"/>
      <x:c r="B8" s="14" t="str">
        <x:v>Hipóteses de custo</x:v>
      </x:c>
      <x:c r="C8" s="14" t="str">
        <x:v>IA R$ 1.100; luz/fibra 50%; PC 36 meses e 10% residual; R$ 500 de provisões adicionais; rateios 25% IA e 10% demais custos.</x:v>
      </x:c>
      <x:c r="D8" s="14" t="str">
        <x:v>Hipóteses gerenciais editáveis, não valores comprovados ou depreciação fiscal.</x:v>
      </x:c>
      <x:c r="E8" s="2"/>
    </x:row>
    <x:row r="9" ht="68" customHeight="1">
      <x:c r="A9" s="2"/>
      <x:c r="B9" s="14" t="str">
        <x:v>Tempo e margem</x:v>
      </x:c>
      <x:c r="C9" s="14" t="str">
        <x:v>Recorrência: R$ 100/h + R$ 10/h incremental. Venda: R$ 100/h + R$ 3.075/160 h de rateio mensal, sem repetir R$ 10/h.</x:v>
      </x:c>
      <x:c r="D9" s="14" t="str">
        <x:v>Hipóteses gerenciais. Rateio mensal de 160 h distinto das 160 h históricas. Não é custo fiscal nem líquido pessoal.</x:v>
      </x:c>
      <x:c r="E9" s="2"/>
    </x:row>
    <x:row r="10" ht="68" customHeight="1">
      <x:c r="A10" s="2"/>
      <x:c r="B10" s="14" t="str">
        <x:v>DAS e fator R</x:v>
      </x:c>
      <x:c r="C10" s="14" t="str">
        <x:v>Referência III 8,08% e V 16,50% em RBT12 de R$ 300 mil; planejamento usa 10%.</x:v>
      </x:c>
      <x:c r="D10" s="14" t="str">
        <x:v>https://www.planalto.gov.br/ccivil_03/leis/lcp/lcp123.htm</x:v>
      </x:c>
      <x:c r="E10" s="2"/>
    </x:row>
    <x:row r="11" ht="68" customHeight="1">
      <x:c r="A11" s="2"/>
      <x:c r="B11" s="14" t="str">
        <x:v>Licenciamento de software</x:v>
      </x:c>
      <x:c r="C11" s="14" t="str">
        <x:v>Licença de software próprio sujeita ao III/V conforme fator R, inclusive quando existe entrega de fonte.</x:v>
      </x:c>
      <x:c r="D11" s="14" t="str">
        <x:v>https://normas.receita.fazenda.gov.br/sijut2consulta/anexoOutros.action?idArquivoBinario=75847</x:v>
      </x:c>
      <x:c r="E11" s="2"/>
    </x:row>
    <x:row r="12" ht="68" customHeight="1">
      <x:c r="A12" s="2"/>
      <x:c r="B12" s="14" t="str">
        <x:v>Titularidade e licença</x:v>
      </x:c>
      <x:c r="C12" s="14" t="str">
        <x:v>Lei do Software: contrato anterior, derivações, validade técnica e serviços complementares.</x:v>
      </x:c>
      <x:c r="D12" s="14" t="str">
        <x:v>https://www.planalto.gov.br/ccivil_03/leis/l9609.htm</x:v>
      </x:c>
      <x:c r="E12" s="2"/>
    </x:row>
    <x:row r="13" ht="68" customHeight="1">
      <x:c r="A13" s="2"/>
      <x:c r="B13" s="14" t="str">
        <x:v>Cessão de direitos</x:v>
      </x:c>
      <x:c r="C13" s="14" t="str">
        <x:v>Objeto e condições da cessão por instrumento escrito. Reservas devem ser expressas.</x:v>
      </x:c>
      <x:c r="D13" s="14" t="str">
        <x:v>https://www.planalto.gov.br/ccivil_03/leis/l9610.htm</x:v>
      </x:c>
      <x:c r="E13" s="2"/>
    </x:row>
    <x:row r="14" ht="68" customHeight="1">
      <x:c r="A14" s="2"/>
      <x:c r="B14" s="14" t="str">
        <x:v>Tributos de cessão de intangível</x:v>
      </x:c>
      <x:c r="C14" s="14" t="str">
        <x:v>Cosit 211/2024 trata de domínio de website. Analogia condicionada, não enquadramento automático da venda deste software.</x:v>
      </x:c>
      <x:c r="D14" s="14" t="str">
        <x:v>https://normas.receita.fazenda.gov.br/sijut2consulta/anexoOutros.action?idArquivoBinario=75104</x:v>
      </x:c>
      <x:c r="E14" s="2"/>
    </x:row>
    <x:row r="15" ht="68" customHeight="1">
      <x:c r="A15" s="2"/>
      <x:c r="B15" s="14" t="str">
        <x:v>Receita e histórico</x:v>
      </x:c>
      <x:c r="C15" s="14" t="str">
        <x:v>RBT12 e fator R exigem receita e pagamentos efetivos. Parcelamento não garante diluir o impacto tributário.</x:v>
      </x:c>
      <x:c r="D15" s="14" t="str">
        <x:v>https://www8.receita.fazenda.gov.br/SimplesNacional/Arquivos/manual/PerguntaoSN.pdf</x:v>
      </x:c>
      <x:c r="E15" s="2"/>
    </x:row>
    <x:row r="16" ht="68" customHeight="1">
      <x:c r="A16" s="2"/>
      <x:c r="B16" s="14" t="str">
        <x:v>Preços de venda</x:v>
      </x:c>
      <x:c r="C16" s="14" t="str">
        <x:v>Alvos: R$ 45 mil fonte sem cessão, R$ 60 mil parcial e R$ 90 mil total. Criação recuperada integralmente no cenário inicial.</x:v>
      </x:c>
      <x:c r="D16" s="14" t="str">
        <x:v>Propostas por custo e direitos, não pesquisa de mercado. Transição de 40/60/80 h e assessoria de R$ 2,5/3,5/5 mil são hipóteses.</x:v>
      </x:c>
      <x:c r="E16" s="2"/>
    </x:row>
    <x:row r="17" ht="68" customHeight="1">
      <x:c r="A17" s="2"/>
      <x:c r="B17" s="14" t="str">
        <x:v>Limites fiscais</x:v>
      </x:c>
      <x:c r="C17" s="14" t="str">
        <x:v>Venda: reservas tributárias de 15% central e 30% estresse, mais 5% risco. Não são alíquotas apuradas ou teto.</x:v>
      </x:c>
      <x:c r="D17" s="14" t="str">
        <x:v>Validar operação, efeito futuro e retirada na PF. Não há apuração da transição de 2027 nem das despesas internacionais reais.</x:v>
      </x:c>
      <x:c r="E17" s="2"/>
    </x:row>
    <x:row r="18" ht="26" customHeight="1">
      <x:c r="A18" s="2"/>
      <x:c r="B18" s="2"/>
      <x:c r="C18" s="2"/>
      <x:c r="D18" s="2"/>
      <x:c r="E18" s="2"/>
    </x:row>
    <x:row r="19" ht="26" customHeight="1">
      <x:c r="A19" s="2"/>
      <x:c r="B19" s="2"/>
      <x:c r="C19" s="2"/>
      <x:c r="D19" s="2"/>
      <x:c r="E19" s="2"/>
    </x:row>
    <x:row r="20" ht="26" customHeight="1">
      <x:c r="A20" s="2"/>
      <x:c r="B20" s="2"/>
      <x:c r="C20" s="2"/>
      <x:c r="D20" s="2"/>
      <x:c r="E20" s="2"/>
    </x:row>
    <x:row r="21" ht="27" customHeight="1">
      <x:c r="A21" s="2"/>
      <x:c r="B21" s="30" t="str">
        <x:v>Os percentuais de margem são sobre o preço, após as deduções explicitadas. Não são markup sobre custo.</x:v>
      </x:c>
      <x:c r="C21" s="2"/>
      <x:c r="D21" s="2"/>
      <x:c r="E21" s="2"/>
    </x:row>
    <x:row r="22" ht="27" customHeight="1">
      <x:c r="A22" s="2"/>
      <x:c r="B22" s="30" t="str">
        <x:v>Descontos precisam preservar preço e escopo juntos. Orçamento do cliente não determina o custo ou sua disponibilidade.</x:v>
      </x:c>
      <x:c r="C22" s="2"/>
      <x:c r="D22" s="2"/>
      <x:c r="E22" s="2"/>
    </x:row>
    <x:row r="23" ht="27" customHeight="1">
      <x:c r="A23" s="2"/>
      <x:c r="B23" s="30" t="str">
        <x:v>O freela de motion não comprova recuperação ou cessão da criação. Abater recuperação anterior se identificável.</x:v>
      </x:c>
      <x:c r="C23" s="2"/>
      <x:c r="D23" s="2"/>
      <x:c r="E23" s="2"/>
    </x:row>
    <x:row r="24" ht="26" customHeight="1">
      <x:c r="A24" s="2"/>
      <x:c r="B24" s="2"/>
      <x:c r="C24" s="2"/>
      <x:c r="D24" s="2"/>
      <x:c r="E24" s="2"/>
    </x:row>
    <x:row r="25" ht="26" customHeight="1">
      <x:c r="A25" s="2"/>
      <x:c r="B25" s="2"/>
      <x:c r="C25" s="2"/>
      <x:c r="D25" s="2"/>
      <x:c r="E25" s="2"/>
    </x:row>
    <x:row r="26" ht="26" customHeight="1">
      <x:c r="A26" s="2"/>
      <x:c r="B26" s="2"/>
      <x:c r="C26" s="2"/>
      <x:c r="D26" s="2"/>
      <x:c r="E26" s="2"/>
    </x:row>
    <x:row r="27" ht="26" customHeight="1">
      <x:c r="A27" s="2"/>
      <x:c r="B27" s="2"/>
      <x:c r="C27" s="2"/>
      <x:c r="D27" s="2"/>
      <x:c r="E27" s="2"/>
    </x:row>
    <x:row r="28" ht="26" customHeight="1">
      <x:c r="A28" s="2"/>
      <x:c r="B28" s="2"/>
      <x:c r="C28" s="2"/>
      <x:c r="D28" s="2"/>
      <x:c r="E28" s="2"/>
    </x:row>
    <x:row r="29" ht="26" customHeight="1">
      <x:c r="A29" s="2"/>
      <x:c r="B29" s="2"/>
      <x:c r="C29" s="2"/>
      <x:c r="D29" s="2"/>
      <x:c r="E29" s="2"/>
    </x:row>
    <x:row r="30" ht="26" customHeight="1">
      <x:c r="A30" s="2"/>
      <x:c r="B30" s="2"/>
      <x:c r="C30" s="2"/>
      <x:c r="D30" s="2"/>
      <x:c r="E30" s="2"/>
    </x:row>
    <x:row r="31" ht="26" customHeight="1">
      <x:c r="A31" s="2"/>
      <x:c r="B31" s="2"/>
      <x:c r="C31" s="2"/>
      <x:c r="D31" s="2"/>
      <x:c r="E31" s="2"/>
    </x:row>
    <x:row r="32" ht="26" customHeight="1">
      <x:c r="A32" s="2"/>
      <x:c r="B32" s="2"/>
      <x:c r="C32" s="2"/>
      <x:c r="D32" s="2"/>
      <x:c r="E32" s="2"/>
    </x:row>
    <x:row r="33" ht="26" customHeight="1">
      <x:c r="A33" s="2"/>
      <x:c r="B33" s="2"/>
      <x:c r="C33" s="2"/>
      <x:c r="D33" s="2"/>
      <x:c r="E33" s="2"/>
    </x:row>
  </x:sheetData>
  <x:pageMargins left="0.7" right="0.7" top="0.75" bottom="0.75" header="0.3" footer="0.3"/>
</x:worksheet>
</file>